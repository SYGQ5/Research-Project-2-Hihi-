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f878fdf05399bd/Documents/UCL 25-26/Research Project 2/Hihi_RStudio/Data/"/>
    </mc:Choice>
  </mc:AlternateContent>
  <xr:revisionPtr revIDLastSave="32" documentId="13_ncr:1_{D08CCE45-23D9-4591-AF5C-E3B85D8743DA}" xr6:coauthVersionLast="47" xr6:coauthVersionMax="47" xr10:uidLastSave="{C72E0488-2E54-451D-BEBF-2A69B4B9F479}"/>
  <bookViews>
    <workbookView xWindow="-110" yWindow="-110" windowWidth="19420" windowHeight="10300" firstSheet="4" activeTab="6" xr2:uid="{88F79530-2C43-415E-9891-1613D47AE73D}"/>
  </bookViews>
  <sheets>
    <sheet name="Sheet1" sheetId="1" r:id="rId1"/>
    <sheet name="Incub_summary" sheetId="2" r:id="rId2"/>
    <sheet name="Desc_stats" sheetId="3" r:id="rId3"/>
    <sheet name="19-20_niwa_temp_data" sheetId="5" r:id="rId4"/>
    <sheet name="19-20_female_cohort" sheetId="6" r:id="rId5"/>
    <sheet name="Sheet2" sheetId="11" r:id="rId6"/>
    <sheet name="Model_draft_inc_temp_data" sheetId="4" r:id="rId7"/>
    <sheet name="Model_draft_prop_da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J2" i="8" a="1"/>
  <c r="J2" i="8" s="1"/>
  <c r="J3" i="8" a="1"/>
  <c r="J3" i="8" s="1"/>
  <c r="K3" i="8" s="1" a="1"/>
  <c r="K3" i="8" s="1"/>
  <c r="J4" i="8" a="1"/>
  <c r="J4" i="8" s="1"/>
  <c r="J5" i="8" a="1"/>
  <c r="J5" i="8" s="1"/>
  <c r="K5" i="8" s="1" a="1"/>
  <c r="K5" i="8" s="1"/>
  <c r="J6" i="8" a="1"/>
  <c r="J6" i="8" s="1"/>
  <c r="J7" i="8" a="1"/>
  <c r="J7" i="8" s="1"/>
  <c r="J8" i="8" a="1"/>
  <c r="J8" i="8" s="1"/>
  <c r="J9" i="8" a="1"/>
  <c r="J9" i="8" s="1"/>
  <c r="J10" i="8" a="1"/>
  <c r="J10" i="8" s="1"/>
  <c r="J11" i="8" a="1"/>
  <c r="J11" i="8" s="1"/>
  <c r="K11" i="8" s="1" a="1"/>
  <c r="K11" i="8" s="1"/>
  <c r="J12" i="8" a="1"/>
  <c r="J12" i="8" s="1"/>
  <c r="J13" i="8" a="1"/>
  <c r="J13" i="8" s="1"/>
  <c r="K13" i="8" s="1" a="1"/>
  <c r="K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K19" i="8" s="1" a="1"/>
  <c r="K19" i="8" s="1"/>
  <c r="J20" i="8" a="1"/>
  <c r="J20" i="8" s="1"/>
  <c r="J21" i="8" a="1"/>
  <c r="J21" i="8" s="1"/>
  <c r="K21" i="8" s="1" a="1"/>
  <c r="K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K27" i="8" s="1" a="1"/>
  <c r="K27" i="8" s="1"/>
  <c r="J28" i="8" a="1"/>
  <c r="J28" i="8" s="1"/>
  <c r="J29" i="8" a="1"/>
  <c r="J29" i="8" s="1"/>
  <c r="K29" i="8" s="1" a="1"/>
  <c r="K29" i="8" s="1"/>
  <c r="J30" i="8" a="1"/>
  <c r="J30" i="8" s="1"/>
  <c r="J31" i="8" a="1"/>
  <c r="J31" i="8" s="1"/>
  <c r="K31" i="8" s="1" a="1"/>
  <c r="K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K37" i="8" s="1" a="1"/>
  <c r="K37" i="8" s="1"/>
  <c r="J38" i="8" a="1"/>
  <c r="J38" i="8" s="1"/>
  <c r="J39" i="8" a="1"/>
  <c r="J39" i="8" s="1"/>
  <c r="K39" i="8" s="1" a="1"/>
  <c r="K39" i="8" s="1"/>
  <c r="J40" i="8" a="1"/>
  <c r="J40" i="8" s="1"/>
  <c r="J41" i="8" a="1"/>
  <c r="J41" i="8" s="1"/>
  <c r="J42" i="8" a="1"/>
  <c r="J42" i="8" s="1"/>
  <c r="J43" i="8" a="1"/>
  <c r="J43" i="8" s="1"/>
  <c r="J44" i="8" a="1"/>
  <c r="J44" i="8" s="1"/>
  <c r="J45" i="8" a="1"/>
  <c r="J45" i="8" s="1"/>
  <c r="K45" i="8" s="1" a="1"/>
  <c r="K45" i="8" s="1"/>
  <c r="J46" i="8" a="1"/>
  <c r="J46" i="8" s="1"/>
  <c r="J47" i="8" a="1"/>
  <c r="J47" i="8" s="1"/>
  <c r="K47" i="8" s="1" a="1"/>
  <c r="K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 s="1"/>
  <c r="K53" i="8" s="1" a="1"/>
  <c r="K53" i="8" s="1"/>
  <c r="J54" i="8" a="1"/>
  <c r="J54" i="8" s="1"/>
  <c r="J55" i="8" a="1"/>
  <c r="J55" i="8" s="1"/>
  <c r="K55" i="8" s="1" a="1"/>
  <c r="K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 s="1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J70" i="8" a="1"/>
  <c r="J70" i="8" s="1"/>
  <c r="J71" i="8" a="1"/>
  <c r="J71" i="8" s="1"/>
  <c r="J72" i="8" a="1"/>
  <c r="J72" i="8" s="1"/>
  <c r="J73" i="8" a="1"/>
  <c r="J73" i="8" s="1"/>
  <c r="J74" i="8" a="1"/>
  <c r="J74" i="8" s="1"/>
  <c r="J75" i="8" a="1"/>
  <c r="J75" i="8" s="1"/>
  <c r="J76" i="8" a="1"/>
  <c r="J76" i="8" s="1"/>
  <c r="J77" i="8" a="1"/>
  <c r="J77" i="8" s="1"/>
  <c r="J78" i="8" a="1"/>
  <c r="J78" i="8" s="1"/>
  <c r="J79" i="8" a="1"/>
  <c r="J79" i="8" s="1"/>
  <c r="J80" i="8" a="1"/>
  <c r="J80" i="8" s="1"/>
  <c r="J81" i="8" a="1"/>
  <c r="J81" i="8" s="1"/>
  <c r="J82" i="8" a="1"/>
  <c r="J82" i="8" s="1"/>
  <c r="J83" i="8" a="1"/>
  <c r="J83" i="8" s="1"/>
  <c r="J84" i="8" a="1"/>
  <c r="J84" i="8" s="1"/>
  <c r="J85" i="8" a="1"/>
  <c r="J85" i="8" s="1"/>
  <c r="J86" i="8" a="1"/>
  <c r="J86" i="8" s="1"/>
  <c r="J87" i="8" a="1"/>
  <c r="J87" i="8" s="1"/>
  <c r="J88" i="8" a="1"/>
  <c r="J88" i="8" s="1"/>
  <c r="J89" i="8" a="1"/>
  <c r="J89" i="8" s="1"/>
  <c r="J90" i="8" a="1"/>
  <c r="J90" i="8" s="1"/>
  <c r="J91" i="8" a="1"/>
  <c r="J91" i="8" s="1"/>
  <c r="J92" i="8" a="1"/>
  <c r="J92" i="8" s="1"/>
  <c r="J93" i="8" a="1"/>
  <c r="J93" i="8" s="1"/>
  <c r="J94" i="8" a="1"/>
  <c r="J94" i="8" s="1"/>
  <c r="J95" i="8" a="1"/>
  <c r="J95" i="8" s="1"/>
  <c r="J96" i="8" a="1"/>
  <c r="J96" i="8" s="1"/>
  <c r="J97" i="8" a="1"/>
  <c r="J97" i="8" s="1"/>
  <c r="J98" i="8" a="1"/>
  <c r="J98" i="8" s="1"/>
  <c r="J99" i="8" a="1"/>
  <c r="J99" i="8" s="1"/>
  <c r="J100" i="8" a="1"/>
  <c r="J100" i="8" s="1"/>
  <c r="F53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D52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C2" i="8"/>
  <c r="D2" i="8" s="1"/>
  <c r="C3" i="8"/>
  <c r="D3" i="8" s="1"/>
  <c r="C4" i="8"/>
  <c r="D4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D48" i="8" s="1"/>
  <c r="C49" i="8"/>
  <c r="D49" i="8" s="1"/>
  <c r="C50" i="8"/>
  <c r="D50" i="8" s="1"/>
  <c r="C51" i="8"/>
  <c r="D51" i="8" s="1"/>
  <c r="C52" i="8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D65" i="8" s="1"/>
  <c r="C66" i="8"/>
  <c r="D66" i="8" s="1"/>
  <c r="C67" i="8"/>
  <c r="D67" i="8" s="1"/>
  <c r="C68" i="8"/>
  <c r="D68" i="8" s="1"/>
  <c r="C69" i="8"/>
  <c r="D69" i="8" s="1"/>
  <c r="C70" i="8"/>
  <c r="D70" i="8" s="1"/>
  <c r="C71" i="8"/>
  <c r="D71" i="8" s="1"/>
  <c r="C72" i="8"/>
  <c r="D72" i="8" s="1"/>
  <c r="C73" i="8"/>
  <c r="D73" i="8" s="1"/>
  <c r="C74" i="8"/>
  <c r="D74" i="8" s="1"/>
  <c r="C75" i="8"/>
  <c r="D75" i="8" s="1"/>
  <c r="C76" i="8"/>
  <c r="D76" i="8" s="1"/>
  <c r="C77" i="8"/>
  <c r="D77" i="8" s="1"/>
  <c r="C78" i="8"/>
  <c r="D78" i="8" s="1"/>
  <c r="C79" i="8"/>
  <c r="D79" i="8" s="1"/>
  <c r="C80" i="8"/>
  <c r="D80" i="8" s="1"/>
  <c r="C81" i="8"/>
  <c r="D81" i="8" s="1"/>
  <c r="C82" i="8"/>
  <c r="D82" i="8" s="1"/>
  <c r="C83" i="8"/>
  <c r="D83" i="8" s="1"/>
  <c r="C84" i="8"/>
  <c r="D84" i="8" s="1"/>
  <c r="C85" i="8"/>
  <c r="D85" i="8" s="1"/>
  <c r="C86" i="8"/>
  <c r="D86" i="8" s="1"/>
  <c r="C87" i="8"/>
  <c r="D87" i="8" s="1"/>
  <c r="C88" i="8"/>
  <c r="D88" i="8" s="1"/>
  <c r="C89" i="8"/>
  <c r="D89" i="8" s="1"/>
  <c r="C90" i="8"/>
  <c r="D90" i="8" s="1"/>
  <c r="C91" i="8"/>
  <c r="D91" i="8" s="1"/>
  <c r="C92" i="8"/>
  <c r="D92" i="8" s="1"/>
  <c r="C93" i="8"/>
  <c r="D93" i="8" s="1"/>
  <c r="C94" i="8"/>
  <c r="D94" i="8" s="1"/>
  <c r="C95" i="8"/>
  <c r="D95" i="8" s="1"/>
  <c r="C96" i="8"/>
  <c r="D96" i="8" s="1"/>
  <c r="C97" i="8"/>
  <c r="D97" i="8" s="1"/>
  <c r="C98" i="8"/>
  <c r="D98" i="8" s="1"/>
  <c r="C99" i="8"/>
  <c r="D99" i="8" s="1"/>
  <c r="C100" i="8"/>
  <c r="D100" i="8" s="1"/>
  <c r="L109" i="4"/>
  <c r="M14" i="8" s="1"/>
  <c r="L110" i="4"/>
  <c r="L111" i="4"/>
  <c r="L112" i="4"/>
  <c r="L113" i="4"/>
  <c r="L114" i="4"/>
  <c r="L115" i="4"/>
  <c r="L116" i="4"/>
  <c r="L117" i="4"/>
  <c r="L212" i="4"/>
  <c r="M30" i="8" s="1"/>
  <c r="L213" i="4"/>
  <c r="L214" i="4"/>
  <c r="L215" i="4"/>
  <c r="L216" i="4"/>
  <c r="L217" i="4"/>
  <c r="L218" i="4"/>
  <c r="L219" i="4"/>
  <c r="L220" i="4"/>
  <c r="L221" i="4"/>
  <c r="L222" i="4"/>
  <c r="L223" i="4"/>
  <c r="L294" i="4"/>
  <c r="M40" i="8" s="1"/>
  <c r="L295" i="4"/>
  <c r="L296" i="4"/>
  <c r="L297" i="4"/>
  <c r="L298" i="4"/>
  <c r="L299" i="4"/>
  <c r="L300" i="4"/>
  <c r="L301" i="4"/>
  <c r="L302" i="4"/>
  <c r="L303" i="4"/>
  <c r="L304" i="4"/>
  <c r="L305" i="4"/>
  <c r="L306" i="4"/>
  <c r="M41" i="8" s="1"/>
  <c r="L307" i="4"/>
  <c r="L308" i="4"/>
  <c r="L309" i="4"/>
  <c r="L310" i="4"/>
  <c r="L311" i="4"/>
  <c r="L312" i="4"/>
  <c r="L313" i="4"/>
  <c r="L633" i="4"/>
  <c r="M100" i="8" s="1"/>
  <c r="L634" i="4"/>
  <c r="L635" i="4"/>
  <c r="L636" i="4"/>
  <c r="L637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J2" i="4"/>
  <c r="F3" i="8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6" i="8" s="1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F7" i="8" s="1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F10" i="8" s="1"/>
  <c r="J78" i="4"/>
  <c r="J79" i="4"/>
  <c r="F11" i="8" s="1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F13" i="8" s="1"/>
  <c r="J101" i="4"/>
  <c r="J102" i="4"/>
  <c r="J103" i="4"/>
  <c r="J104" i="4"/>
  <c r="J105" i="4"/>
  <c r="J106" i="4"/>
  <c r="J107" i="4"/>
  <c r="J108" i="4"/>
  <c r="J109" i="4"/>
  <c r="F14" i="8" s="1"/>
  <c r="J110" i="4"/>
  <c r="J111" i="4"/>
  <c r="J112" i="4"/>
  <c r="J113" i="4"/>
  <c r="J114" i="4"/>
  <c r="J115" i="4"/>
  <c r="J116" i="4"/>
  <c r="J117" i="4"/>
  <c r="J118" i="4"/>
  <c r="F15" i="8" s="1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F19" i="8" s="1"/>
  <c r="J141" i="4"/>
  <c r="J142" i="4"/>
  <c r="J143" i="4"/>
  <c r="J144" i="4"/>
  <c r="J145" i="4"/>
  <c r="J146" i="4"/>
  <c r="J147" i="4"/>
  <c r="J148" i="4"/>
  <c r="J149" i="4"/>
  <c r="J150" i="4"/>
  <c r="J151" i="4"/>
  <c r="F23" i="8" s="1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F26" i="8" s="1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F27" i="8" s="1"/>
  <c r="J191" i="4"/>
  <c r="J192" i="4"/>
  <c r="J193" i="4"/>
  <c r="J194" i="4"/>
  <c r="J195" i="4"/>
  <c r="J196" i="4"/>
  <c r="J197" i="4"/>
  <c r="F29" i="8" s="1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F30" i="8" s="1"/>
  <c r="J213" i="4"/>
  <c r="J214" i="4"/>
  <c r="J215" i="4"/>
  <c r="J216" i="4"/>
  <c r="J217" i="4"/>
  <c r="J218" i="4"/>
  <c r="J219" i="4"/>
  <c r="J220" i="4"/>
  <c r="J221" i="4"/>
  <c r="J222" i="4"/>
  <c r="J223" i="4"/>
  <c r="J224" i="4"/>
  <c r="F31" i="8" s="1"/>
  <c r="J225" i="4"/>
  <c r="J226" i="4"/>
  <c r="J227" i="4"/>
  <c r="F32" i="8" s="1"/>
  <c r="J228" i="4"/>
  <c r="J229" i="4"/>
  <c r="J230" i="4"/>
  <c r="J231" i="4"/>
  <c r="J232" i="4"/>
  <c r="F33" i="8" s="1"/>
  <c r="J233" i="4"/>
  <c r="J234" i="4"/>
  <c r="J235" i="4"/>
  <c r="J236" i="4"/>
  <c r="J237" i="4"/>
  <c r="J238" i="4"/>
  <c r="F35" i="8" s="1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F36" i="8" s="1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F38" i="8" s="1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F40" i="8" s="1"/>
  <c r="J295" i="4"/>
  <c r="J296" i="4"/>
  <c r="J297" i="4"/>
  <c r="J298" i="4"/>
  <c r="J299" i="4"/>
  <c r="J300" i="4"/>
  <c r="J301" i="4"/>
  <c r="J302" i="4"/>
  <c r="J303" i="4"/>
  <c r="J304" i="4"/>
  <c r="J305" i="4"/>
  <c r="J306" i="4"/>
  <c r="F41" i="8" s="1"/>
  <c r="J307" i="4"/>
  <c r="J308" i="4"/>
  <c r="J309" i="4"/>
  <c r="J310" i="4"/>
  <c r="J311" i="4"/>
  <c r="J312" i="4"/>
  <c r="J313" i="4"/>
  <c r="J314" i="4"/>
  <c r="F42" i="8" s="1"/>
  <c r="J315" i="4"/>
  <c r="J316" i="4"/>
  <c r="J317" i="4"/>
  <c r="J318" i="4"/>
  <c r="J319" i="4"/>
  <c r="F43" i="8" s="1"/>
  <c r="J320" i="4"/>
  <c r="J321" i="4"/>
  <c r="J322" i="4"/>
  <c r="J323" i="4"/>
  <c r="J324" i="4"/>
  <c r="J325" i="4"/>
  <c r="J326" i="4"/>
  <c r="J327" i="4"/>
  <c r="J328" i="4"/>
  <c r="J329" i="4"/>
  <c r="J330" i="4"/>
  <c r="F45" i="8" s="1"/>
  <c r="J331" i="4"/>
  <c r="J332" i="4"/>
  <c r="J333" i="4"/>
  <c r="J334" i="4"/>
  <c r="F47" i="8" s="1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F50" i="8" s="1"/>
  <c r="J349" i="4"/>
  <c r="J350" i="4"/>
  <c r="J351" i="4"/>
  <c r="J352" i="4"/>
  <c r="J353" i="4"/>
  <c r="J354" i="4"/>
  <c r="J355" i="4"/>
  <c r="J356" i="4"/>
  <c r="F51" i="8" s="1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F60" i="8" s="1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F65" i="8" s="1"/>
  <c r="J471" i="4"/>
  <c r="J472" i="4"/>
  <c r="J473" i="4"/>
  <c r="J474" i="4"/>
  <c r="F66" i="8" s="1"/>
  <c r="J475" i="4"/>
  <c r="J476" i="4"/>
  <c r="F67" i="8" s="1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F70" i="8" s="1"/>
  <c r="J495" i="4"/>
  <c r="J496" i="4"/>
  <c r="J497" i="4"/>
  <c r="F71" i="8" s="1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F73" i="8" s="1"/>
  <c r="J511" i="4"/>
  <c r="J512" i="4"/>
  <c r="J513" i="4"/>
  <c r="J514" i="4"/>
  <c r="J515" i="4"/>
  <c r="J516" i="4"/>
  <c r="F75" i="8" s="1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F79" i="8" s="1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F80" i="8" s="1"/>
  <c r="J551" i="4"/>
  <c r="J552" i="4"/>
  <c r="J553" i="4"/>
  <c r="F81" i="8" s="1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F86" i="8" s="1"/>
  <c r="J569" i="4"/>
  <c r="J570" i="4"/>
  <c r="F87" i="8" s="1"/>
  <c r="J571" i="4"/>
  <c r="J572" i="4"/>
  <c r="J573" i="4"/>
  <c r="J574" i="4"/>
  <c r="J575" i="4"/>
  <c r="J576" i="4"/>
  <c r="J577" i="4"/>
  <c r="J578" i="4"/>
  <c r="J579" i="4"/>
  <c r="F89" i="8" s="1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F94" i="8" s="1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F99" i="8" s="1"/>
  <c r="J627" i="4"/>
  <c r="J628" i="4"/>
  <c r="J629" i="4"/>
  <c r="J630" i="4"/>
  <c r="J631" i="4"/>
  <c r="J632" i="4"/>
  <c r="J633" i="4"/>
  <c r="F100" i="8" s="1"/>
  <c r="J634" i="4"/>
  <c r="J635" i="4"/>
  <c r="J636" i="4"/>
  <c r="J637" i="4"/>
  <c r="F37" i="8" l="1"/>
  <c r="F95" i="8"/>
  <c r="F98" i="8"/>
  <c r="F91" i="8"/>
  <c r="F92" i="8"/>
  <c r="F83" i="8"/>
  <c r="F85" i="8"/>
  <c r="F63" i="8"/>
  <c r="F62" i="8"/>
  <c r="F59" i="8"/>
  <c r="F58" i="8"/>
  <c r="F57" i="8"/>
  <c r="F55" i="8"/>
  <c r="F54" i="8"/>
  <c r="F82" i="8"/>
  <c r="F72" i="8"/>
  <c r="L9" i="8"/>
  <c r="K9" i="8" a="1"/>
  <c r="K9" i="8" s="1"/>
  <c r="H57" i="8" a="1"/>
  <c r="H57" i="8" s="1"/>
  <c r="K57" i="8" a="1"/>
  <c r="K57" i="8" s="1"/>
  <c r="I23" i="8" a="1"/>
  <c r="I23" i="8" s="1"/>
  <c r="K23" i="8" a="1"/>
  <c r="K23" i="8" s="1"/>
  <c r="H41" i="8" a="1"/>
  <c r="H41" i="8" s="1"/>
  <c r="K41" i="8" a="1"/>
  <c r="K41" i="8" s="1"/>
  <c r="I15" i="8" a="1"/>
  <c r="I15" i="8" s="1"/>
  <c r="K15" i="8" a="1"/>
  <c r="K15" i="8" s="1"/>
  <c r="I7" i="8" a="1"/>
  <c r="I7" i="8" s="1"/>
  <c r="K7" i="8" a="1"/>
  <c r="K7" i="8" s="1"/>
  <c r="L99" i="8"/>
  <c r="K99" i="8" a="1"/>
  <c r="K99" i="8" s="1"/>
  <c r="L91" i="8"/>
  <c r="K91" i="8" a="1"/>
  <c r="K91" i="8" s="1"/>
  <c r="L83" i="8"/>
  <c r="K83" i="8" a="1"/>
  <c r="K83" i="8" s="1"/>
  <c r="L75" i="8"/>
  <c r="K75" i="8" a="1"/>
  <c r="K75" i="8" s="1"/>
  <c r="L71" i="8"/>
  <c r="K71" i="8" a="1"/>
  <c r="K71" i="8" s="1"/>
  <c r="L64" i="8"/>
  <c r="K64" i="8" a="1"/>
  <c r="K64" i="8" s="1"/>
  <c r="L60" i="8"/>
  <c r="K60" i="8" a="1"/>
  <c r="K60" i="8" s="1"/>
  <c r="L49" i="8"/>
  <c r="K49" i="8" a="1"/>
  <c r="K49" i="8" s="1"/>
  <c r="L46" i="8"/>
  <c r="K46" i="8" a="1"/>
  <c r="K46" i="8" s="1"/>
  <c r="L42" i="8"/>
  <c r="K42" i="8" a="1"/>
  <c r="K42" i="8" s="1"/>
  <c r="H35" i="8" a="1"/>
  <c r="H35" i="8" s="1"/>
  <c r="K35" i="8" a="1"/>
  <c r="K35" i="8" s="1"/>
  <c r="L24" i="8"/>
  <c r="K24" i="8" a="1"/>
  <c r="K24" i="8" s="1"/>
  <c r="I17" i="8" a="1"/>
  <c r="I17" i="8" s="1"/>
  <c r="K17" i="8" a="1"/>
  <c r="K17" i="8" s="1"/>
  <c r="L8" i="8"/>
  <c r="K8" i="8" a="1"/>
  <c r="K8" i="8" s="1"/>
  <c r="L95" i="8"/>
  <c r="K95" i="8" a="1"/>
  <c r="K95" i="8" s="1"/>
  <c r="L87" i="8"/>
  <c r="K87" i="8" a="1"/>
  <c r="K87" i="8" s="1"/>
  <c r="L79" i="8"/>
  <c r="K79" i="8" a="1"/>
  <c r="K79" i="8" s="1"/>
  <c r="L68" i="8"/>
  <c r="K68" i="8" a="1"/>
  <c r="K68" i="8" s="1"/>
  <c r="L98" i="8"/>
  <c r="K98" i="8" a="1"/>
  <c r="K98" i="8" s="1"/>
  <c r="L94" i="8"/>
  <c r="K94" i="8" a="1"/>
  <c r="K94" i="8" s="1"/>
  <c r="L90" i="8"/>
  <c r="K90" i="8" a="1"/>
  <c r="K90" i="8" s="1"/>
  <c r="L86" i="8"/>
  <c r="K86" i="8" a="1"/>
  <c r="K86" i="8" s="1"/>
  <c r="L82" i="8"/>
  <c r="K82" i="8" a="1"/>
  <c r="K82" i="8" s="1"/>
  <c r="L78" i="8"/>
  <c r="K78" i="8" a="1"/>
  <c r="K78" i="8" s="1"/>
  <c r="L74" i="8"/>
  <c r="K74" i="8" a="1"/>
  <c r="K74" i="8" s="1"/>
  <c r="L67" i="8"/>
  <c r="K67" i="8" a="1"/>
  <c r="K67" i="8" s="1"/>
  <c r="L63" i="8"/>
  <c r="K63" i="8" a="1"/>
  <c r="K63" i="8" s="1"/>
  <c r="L59" i="8"/>
  <c r="K59" i="8" a="1"/>
  <c r="K59" i="8" s="1"/>
  <c r="H56" i="8" a="1"/>
  <c r="H56" i="8" s="1"/>
  <c r="K56" i="8" a="1"/>
  <c r="K56" i="8" s="1"/>
  <c r="H52" i="8" a="1"/>
  <c r="H52" i="8" s="1"/>
  <c r="K52" i="8" a="1"/>
  <c r="K52" i="8" s="1"/>
  <c r="L38" i="8"/>
  <c r="K38" i="8" a="1"/>
  <c r="K38" i="8" s="1"/>
  <c r="L34" i="8"/>
  <c r="K34" i="8" a="1"/>
  <c r="K34" i="8" s="1"/>
  <c r="L30" i="8"/>
  <c r="K30" i="8" a="1"/>
  <c r="K30" i="8" s="1"/>
  <c r="L26" i="8"/>
  <c r="K26" i="8" a="1"/>
  <c r="K26" i="8" s="1"/>
  <c r="L20" i="8"/>
  <c r="K20" i="8" a="1"/>
  <c r="K20" i="8" s="1"/>
  <c r="L14" i="8"/>
  <c r="K14" i="8" a="1"/>
  <c r="K14" i="8" s="1"/>
  <c r="L10" i="8"/>
  <c r="K10" i="8" a="1"/>
  <c r="K10" i="8" s="1"/>
  <c r="L4" i="8"/>
  <c r="K4" i="8" a="1"/>
  <c r="K4" i="8" s="1"/>
  <c r="L97" i="8"/>
  <c r="K97" i="8" a="1"/>
  <c r="K97" i="8" s="1"/>
  <c r="L89" i="8"/>
  <c r="K89" i="8" a="1"/>
  <c r="K89" i="8" s="1"/>
  <c r="L81" i="8"/>
  <c r="K81" i="8" a="1"/>
  <c r="K81" i="8" s="1"/>
  <c r="L77" i="8"/>
  <c r="K77" i="8" a="1"/>
  <c r="K77" i="8" s="1"/>
  <c r="L73" i="8"/>
  <c r="K73" i="8" a="1"/>
  <c r="K73" i="8" s="1"/>
  <c r="L70" i="8"/>
  <c r="K70" i="8" a="1"/>
  <c r="K70" i="8" s="1"/>
  <c r="L66" i="8"/>
  <c r="K66" i="8" a="1"/>
  <c r="K66" i="8" s="1"/>
  <c r="L62" i="8"/>
  <c r="K62" i="8" a="1"/>
  <c r="K62" i="8" s="1"/>
  <c r="L58" i="8"/>
  <c r="K58" i="8" a="1"/>
  <c r="K58" i="8" s="1"/>
  <c r="H51" i="8" a="1"/>
  <c r="H51" i="8" s="1"/>
  <c r="K51" i="8" a="1"/>
  <c r="K51" i="8" s="1"/>
  <c r="L48" i="8"/>
  <c r="K48" i="8" a="1"/>
  <c r="K48" i="8" s="1"/>
  <c r="H44" i="8" a="1"/>
  <c r="H44" i="8" s="1"/>
  <c r="K44" i="8" a="1"/>
  <c r="K44" i="8" s="1"/>
  <c r="L33" i="8"/>
  <c r="K33" i="8" a="1"/>
  <c r="K33" i="8" s="1"/>
  <c r="L25" i="8"/>
  <c r="K25" i="8" a="1"/>
  <c r="K25" i="8" s="1"/>
  <c r="I16" i="8" a="1"/>
  <c r="I16" i="8" s="1"/>
  <c r="K16" i="8" a="1"/>
  <c r="K16" i="8" s="1"/>
  <c r="L93" i="8"/>
  <c r="K93" i="8" a="1"/>
  <c r="K93" i="8" s="1"/>
  <c r="L85" i="8"/>
  <c r="K85" i="8" a="1"/>
  <c r="K85" i="8" s="1"/>
  <c r="L100" i="8"/>
  <c r="K100" i="8" a="1"/>
  <c r="K100" i="8" s="1"/>
  <c r="L96" i="8"/>
  <c r="K96" i="8" a="1"/>
  <c r="K96" i="8" s="1"/>
  <c r="L92" i="8"/>
  <c r="K92" i="8" a="1"/>
  <c r="K92" i="8" s="1"/>
  <c r="L88" i="8"/>
  <c r="K88" i="8" a="1"/>
  <c r="K88" i="8" s="1"/>
  <c r="L84" i="8"/>
  <c r="K84" i="8" a="1"/>
  <c r="K84" i="8" s="1"/>
  <c r="L80" i="8"/>
  <c r="K80" i="8" a="1"/>
  <c r="K80" i="8" s="1"/>
  <c r="L76" i="8"/>
  <c r="K76" i="8" a="1"/>
  <c r="K76" i="8" s="1"/>
  <c r="L72" i="8"/>
  <c r="K72" i="8" a="1"/>
  <c r="K72" i="8" s="1"/>
  <c r="L69" i="8"/>
  <c r="K69" i="8" a="1"/>
  <c r="K69" i="8" s="1"/>
  <c r="L65" i="8"/>
  <c r="K65" i="8" a="1"/>
  <c r="K65" i="8" s="1"/>
  <c r="L61" i="8"/>
  <c r="K61" i="8" a="1"/>
  <c r="K61" i="8" s="1"/>
  <c r="L54" i="8"/>
  <c r="K54" i="8" a="1"/>
  <c r="K54" i="8" s="1"/>
  <c r="L50" i="8"/>
  <c r="K50" i="8" a="1"/>
  <c r="K50" i="8" s="1"/>
  <c r="H43" i="8" a="1"/>
  <c r="H43" i="8" s="1"/>
  <c r="K43" i="8" a="1"/>
  <c r="K43" i="8" s="1"/>
  <c r="H40" i="8" a="1"/>
  <c r="H40" i="8" s="1"/>
  <c r="K40" i="8" a="1"/>
  <c r="K40" i="8" s="1"/>
  <c r="H36" i="8" a="1"/>
  <c r="H36" i="8" s="1"/>
  <c r="K36" i="8" a="1"/>
  <c r="K36" i="8" s="1"/>
  <c r="H32" i="8" a="1"/>
  <c r="H32" i="8" s="1"/>
  <c r="K32" i="8" a="1"/>
  <c r="K32" i="8" s="1"/>
  <c r="I28" i="8" a="1"/>
  <c r="I28" i="8" s="1"/>
  <c r="K28" i="8" a="1"/>
  <c r="K28" i="8" s="1"/>
  <c r="L22" i="8"/>
  <c r="K22" i="8" a="1"/>
  <c r="K22" i="8" s="1"/>
  <c r="L18" i="8"/>
  <c r="K18" i="8" a="1"/>
  <c r="K18" i="8" s="1"/>
  <c r="I12" i="8" a="1"/>
  <c r="I12" i="8" s="1"/>
  <c r="K12" i="8" a="1"/>
  <c r="K12" i="8" s="1"/>
  <c r="L6" i="8"/>
  <c r="K6" i="8" a="1"/>
  <c r="K6" i="8" s="1"/>
  <c r="L2" i="8"/>
  <c r="K2" i="8" a="1"/>
  <c r="K2" i="8" s="1"/>
  <c r="I27" i="8" a="1"/>
  <c r="I27" i="8" s="1"/>
  <c r="H27" i="8" a="1"/>
  <c r="H27" i="8" s="1"/>
  <c r="L27" i="8"/>
  <c r="L21" i="8"/>
  <c r="I21" i="8" a="1"/>
  <c r="I21" i="8" s="1"/>
  <c r="H21" i="8" a="1"/>
  <c r="H21" i="8" s="1"/>
  <c r="I11" i="8" a="1"/>
  <c r="I11" i="8" s="1"/>
  <c r="H11" i="8" a="1"/>
  <c r="H11" i="8" s="1"/>
  <c r="L11" i="8"/>
  <c r="L5" i="8"/>
  <c r="I5" i="8" a="1"/>
  <c r="I5" i="8" s="1"/>
  <c r="H5" i="8" a="1"/>
  <c r="H5" i="8" s="1"/>
  <c r="L19" i="8"/>
  <c r="I19" i="8" a="1"/>
  <c r="I19" i="8" s="1"/>
  <c r="H19" i="8" a="1"/>
  <c r="H19" i="8" s="1"/>
  <c r="L13" i="8"/>
  <c r="I13" i="8" a="1"/>
  <c r="I13" i="8" s="1"/>
  <c r="H13" i="8" a="1"/>
  <c r="H13" i="8" s="1"/>
  <c r="L3" i="8"/>
  <c r="I3" i="8" a="1"/>
  <c r="I3" i="8" s="1"/>
  <c r="H3" i="8" a="1"/>
  <c r="H3" i="8" s="1"/>
  <c r="L28" i="8"/>
  <c r="L23" i="8"/>
  <c r="L17" i="8"/>
  <c r="L12" i="8"/>
  <c r="L7" i="8"/>
  <c r="H30" i="8" a="1"/>
  <c r="H30" i="8" s="1"/>
  <c r="H25" i="8" a="1"/>
  <c r="H25" i="8" s="1"/>
  <c r="H17" i="8" a="1"/>
  <c r="H17" i="8" s="1"/>
  <c r="H9" i="8" a="1"/>
  <c r="H9" i="8" s="1"/>
  <c r="I30" i="8" a="1"/>
  <c r="I30" i="8" s="1"/>
  <c r="I25" i="8" a="1"/>
  <c r="I25" i="8" s="1"/>
  <c r="I9" i="8" a="1"/>
  <c r="I9" i="8" s="1"/>
  <c r="L16" i="8"/>
  <c r="H28" i="8" a="1"/>
  <c r="H28" i="8" s="1"/>
  <c r="H24" i="8" a="1"/>
  <c r="H24" i="8" s="1"/>
  <c r="H20" i="8" a="1"/>
  <c r="H20" i="8" s="1"/>
  <c r="H16" i="8" a="1"/>
  <c r="H16" i="8" s="1"/>
  <c r="H12" i="8" a="1"/>
  <c r="H12" i="8" s="1"/>
  <c r="H8" i="8" a="1"/>
  <c r="H8" i="8" s="1"/>
  <c r="H4" i="8" a="1"/>
  <c r="H4" i="8" s="1"/>
  <c r="I24" i="8" a="1"/>
  <c r="I24" i="8" s="1"/>
  <c r="I20" i="8" a="1"/>
  <c r="I20" i="8" s="1"/>
  <c r="I8" i="8" a="1"/>
  <c r="I8" i="8" s="1"/>
  <c r="I4" i="8" a="1"/>
  <c r="I4" i="8" s="1"/>
  <c r="L15" i="8"/>
  <c r="H23" i="8" a="1"/>
  <c r="H23" i="8" s="1"/>
  <c r="H15" i="8" a="1"/>
  <c r="H15" i="8" s="1"/>
  <c r="H7" i="8" a="1"/>
  <c r="H7" i="8" s="1"/>
  <c r="L32" i="8"/>
  <c r="H26" i="8" a="1"/>
  <c r="H26" i="8" s="1"/>
  <c r="H22" i="8" a="1"/>
  <c r="H22" i="8" s="1"/>
  <c r="H18" i="8" a="1"/>
  <c r="H18" i="8" s="1"/>
  <c r="H14" i="8" a="1"/>
  <c r="H14" i="8" s="1"/>
  <c r="H10" i="8" a="1"/>
  <c r="H10" i="8" s="1"/>
  <c r="H6" i="8" a="1"/>
  <c r="H6" i="8" s="1"/>
  <c r="H2" i="8" a="1"/>
  <c r="H2" i="8" s="1"/>
  <c r="I26" i="8" a="1"/>
  <c r="I26" i="8" s="1"/>
  <c r="I22" i="8" a="1"/>
  <c r="I22" i="8" s="1"/>
  <c r="I18" i="8" a="1"/>
  <c r="I18" i="8" s="1"/>
  <c r="I14" i="8" a="1"/>
  <c r="I14" i="8" s="1"/>
  <c r="I10" i="8" a="1"/>
  <c r="I10" i="8" s="1"/>
  <c r="I6" i="8" a="1"/>
  <c r="I6" i="8" s="1"/>
  <c r="I2" i="8" a="1"/>
  <c r="I2" i="8" s="1"/>
  <c r="L53" i="8"/>
  <c r="H53" i="8" a="1"/>
  <c r="H53" i="8" s="1"/>
  <c r="I53" i="8" a="1"/>
  <c r="I53" i="8" s="1"/>
  <c r="H47" i="8" a="1"/>
  <c r="H47" i="8" s="1"/>
  <c r="I47" i="8" a="1"/>
  <c r="I47" i="8" s="1"/>
  <c r="L47" i="8"/>
  <c r="L37" i="8"/>
  <c r="H37" i="8" a="1"/>
  <c r="H37" i="8" s="1"/>
  <c r="I37" i="8" a="1"/>
  <c r="I37" i="8" s="1"/>
  <c r="H31" i="8" a="1"/>
  <c r="H31" i="8" s="1"/>
  <c r="I31" i="8" a="1"/>
  <c r="I31" i="8" s="1"/>
  <c r="L31" i="8"/>
  <c r="H55" i="8" a="1"/>
  <c r="H55" i="8" s="1"/>
  <c r="I55" i="8" a="1"/>
  <c r="I55" i="8" s="1"/>
  <c r="L55" i="8"/>
  <c r="H45" i="8" a="1"/>
  <c r="H45" i="8" s="1"/>
  <c r="L45" i="8"/>
  <c r="I45" i="8" a="1"/>
  <c r="I45" i="8" s="1"/>
  <c r="H39" i="8" a="1"/>
  <c r="H39" i="8" s="1"/>
  <c r="I39" i="8" a="1"/>
  <c r="I39" i="8" s="1"/>
  <c r="L39" i="8"/>
  <c r="H29" i="8" a="1"/>
  <c r="H29" i="8" s="1"/>
  <c r="L29" i="8"/>
  <c r="I29" i="8" a="1"/>
  <c r="I29" i="8" s="1"/>
  <c r="L57" i="8"/>
  <c r="L52" i="8"/>
  <c r="L41" i="8"/>
  <c r="L36" i="8"/>
  <c r="H98" i="8" a="1"/>
  <c r="H98" i="8" s="1"/>
  <c r="H94" i="8" a="1"/>
  <c r="H94" i="8" s="1"/>
  <c r="H90" i="8" a="1"/>
  <c r="H90" i="8" s="1"/>
  <c r="H86" i="8" a="1"/>
  <c r="H86" i="8" s="1"/>
  <c r="H82" i="8" a="1"/>
  <c r="H82" i="8" s="1"/>
  <c r="H78" i="8" a="1"/>
  <c r="H78" i="8" s="1"/>
  <c r="H74" i="8" a="1"/>
  <c r="H74" i="8" s="1"/>
  <c r="H70" i="8" a="1"/>
  <c r="H70" i="8" s="1"/>
  <c r="H66" i="8" a="1"/>
  <c r="H66" i="8" s="1"/>
  <c r="H62" i="8" a="1"/>
  <c r="H62" i="8" s="1"/>
  <c r="H58" i="8" a="1"/>
  <c r="H58" i="8" s="1"/>
  <c r="H54" i="8" a="1"/>
  <c r="H54" i="8" s="1"/>
  <c r="H50" i="8" a="1"/>
  <c r="H50" i="8" s="1"/>
  <c r="H46" i="8" a="1"/>
  <c r="H46" i="8" s="1"/>
  <c r="H42" i="8" a="1"/>
  <c r="H42" i="8" s="1"/>
  <c r="H38" i="8" a="1"/>
  <c r="H38" i="8" s="1"/>
  <c r="H34" i="8" a="1"/>
  <c r="H34" i="8" s="1"/>
  <c r="I97" i="8" a="1"/>
  <c r="I97" i="8" s="1"/>
  <c r="I93" i="8" a="1"/>
  <c r="I93" i="8" s="1"/>
  <c r="I89" i="8" a="1"/>
  <c r="I89" i="8" s="1"/>
  <c r="I85" i="8" a="1"/>
  <c r="I85" i="8" s="1"/>
  <c r="I81" i="8" a="1"/>
  <c r="I81" i="8" s="1"/>
  <c r="I77" i="8" a="1"/>
  <c r="I77" i="8" s="1"/>
  <c r="I73" i="8" a="1"/>
  <c r="I73" i="8" s="1"/>
  <c r="I69" i="8" a="1"/>
  <c r="I69" i="8" s="1"/>
  <c r="I65" i="8" a="1"/>
  <c r="I65" i="8" s="1"/>
  <c r="I61" i="8" a="1"/>
  <c r="I61" i="8" s="1"/>
  <c r="I57" i="8" a="1"/>
  <c r="I57" i="8" s="1"/>
  <c r="I49" i="8" a="1"/>
  <c r="I49" i="8" s="1"/>
  <c r="I41" i="8" a="1"/>
  <c r="I41" i="8" s="1"/>
  <c r="I33" i="8" a="1"/>
  <c r="I33" i="8" s="1"/>
  <c r="F90" i="8"/>
  <c r="F12" i="8"/>
  <c r="F78" i="8"/>
  <c r="F46" i="8"/>
  <c r="F22" i="8"/>
  <c r="F93" i="8"/>
  <c r="F84" i="8"/>
  <c r="F74" i="8"/>
  <c r="F64" i="8"/>
  <c r="F56" i="8"/>
  <c r="F44" i="8"/>
  <c r="F34" i="8"/>
  <c r="F18" i="8"/>
  <c r="F2" i="8"/>
  <c r="L56" i="8"/>
  <c r="L51" i="8"/>
  <c r="L40" i="8"/>
  <c r="L35" i="8"/>
  <c r="H97" i="8" a="1"/>
  <c r="H97" i="8" s="1"/>
  <c r="H93" i="8" a="1"/>
  <c r="H93" i="8" s="1"/>
  <c r="H89" i="8" a="1"/>
  <c r="H89" i="8" s="1"/>
  <c r="H85" i="8" a="1"/>
  <c r="H85" i="8" s="1"/>
  <c r="H81" i="8" a="1"/>
  <c r="H81" i="8" s="1"/>
  <c r="H77" i="8" a="1"/>
  <c r="H77" i="8" s="1"/>
  <c r="H73" i="8" a="1"/>
  <c r="H73" i="8" s="1"/>
  <c r="H69" i="8" a="1"/>
  <c r="H69" i="8" s="1"/>
  <c r="H65" i="8" a="1"/>
  <c r="H65" i="8" s="1"/>
  <c r="H61" i="8" a="1"/>
  <c r="H61" i="8" s="1"/>
  <c r="H49" i="8" a="1"/>
  <c r="H49" i="8" s="1"/>
  <c r="H33" i="8" a="1"/>
  <c r="H33" i="8" s="1"/>
  <c r="I100" i="8" a="1"/>
  <c r="I100" i="8" s="1"/>
  <c r="I96" i="8" a="1"/>
  <c r="I96" i="8" s="1"/>
  <c r="I92" i="8" a="1"/>
  <c r="I92" i="8" s="1"/>
  <c r="I88" i="8" a="1"/>
  <c r="I88" i="8" s="1"/>
  <c r="I84" i="8" a="1"/>
  <c r="I84" i="8" s="1"/>
  <c r="I80" i="8" a="1"/>
  <c r="I80" i="8" s="1"/>
  <c r="I76" i="8" a="1"/>
  <c r="I76" i="8" s="1"/>
  <c r="I72" i="8" a="1"/>
  <c r="I72" i="8" s="1"/>
  <c r="I68" i="8" a="1"/>
  <c r="I68" i="8" s="1"/>
  <c r="I64" i="8" a="1"/>
  <c r="I64" i="8" s="1"/>
  <c r="I60" i="8" a="1"/>
  <c r="I60" i="8" s="1"/>
  <c r="I56" i="8" a="1"/>
  <c r="I56" i="8" s="1"/>
  <c r="I52" i="8" a="1"/>
  <c r="I52" i="8" s="1"/>
  <c r="I48" i="8" a="1"/>
  <c r="I48" i="8" s="1"/>
  <c r="I44" i="8" a="1"/>
  <c r="I44" i="8" s="1"/>
  <c r="I40" i="8" a="1"/>
  <c r="I40" i="8" s="1"/>
  <c r="I36" i="8" a="1"/>
  <c r="I36" i="8" s="1"/>
  <c r="I32" i="8" a="1"/>
  <c r="I32" i="8" s="1"/>
  <c r="L44" i="8"/>
  <c r="H100" i="8" a="1"/>
  <c r="H100" i="8" s="1"/>
  <c r="H96" i="8" a="1"/>
  <c r="H96" i="8" s="1"/>
  <c r="H92" i="8" a="1"/>
  <c r="H92" i="8" s="1"/>
  <c r="H88" i="8" a="1"/>
  <c r="H88" i="8" s="1"/>
  <c r="H84" i="8" a="1"/>
  <c r="H84" i="8" s="1"/>
  <c r="H80" i="8" a="1"/>
  <c r="H80" i="8" s="1"/>
  <c r="H76" i="8" a="1"/>
  <c r="H76" i="8" s="1"/>
  <c r="H72" i="8" a="1"/>
  <c r="H72" i="8" s="1"/>
  <c r="H68" i="8" a="1"/>
  <c r="H68" i="8" s="1"/>
  <c r="H64" i="8" a="1"/>
  <c r="H64" i="8" s="1"/>
  <c r="H60" i="8" a="1"/>
  <c r="H60" i="8" s="1"/>
  <c r="H48" i="8" a="1"/>
  <c r="H48" i="8" s="1"/>
  <c r="I99" i="8" a="1"/>
  <c r="I99" i="8" s="1"/>
  <c r="I95" i="8" a="1"/>
  <c r="I95" i="8" s="1"/>
  <c r="I91" i="8" a="1"/>
  <c r="I91" i="8" s="1"/>
  <c r="I87" i="8" a="1"/>
  <c r="I87" i="8" s="1"/>
  <c r="I83" i="8" a="1"/>
  <c r="I83" i="8" s="1"/>
  <c r="I79" i="8" a="1"/>
  <c r="I79" i="8" s="1"/>
  <c r="I75" i="8" a="1"/>
  <c r="I75" i="8" s="1"/>
  <c r="I71" i="8" a="1"/>
  <c r="I71" i="8" s="1"/>
  <c r="I67" i="8" a="1"/>
  <c r="I67" i="8" s="1"/>
  <c r="I63" i="8" a="1"/>
  <c r="I63" i="8" s="1"/>
  <c r="I59" i="8" a="1"/>
  <c r="I59" i="8" s="1"/>
  <c r="I51" i="8" a="1"/>
  <c r="I51" i="8" s="1"/>
  <c r="I43" i="8" a="1"/>
  <c r="I43" i="8" s="1"/>
  <c r="I35" i="8" a="1"/>
  <c r="I35" i="8" s="1"/>
  <c r="L43" i="8"/>
  <c r="H99" i="8" a="1"/>
  <c r="H99" i="8" s="1"/>
  <c r="H95" i="8" a="1"/>
  <c r="H95" i="8" s="1"/>
  <c r="H91" i="8" a="1"/>
  <c r="H91" i="8" s="1"/>
  <c r="H87" i="8" a="1"/>
  <c r="H87" i="8" s="1"/>
  <c r="H83" i="8" a="1"/>
  <c r="H83" i="8" s="1"/>
  <c r="H79" i="8" a="1"/>
  <c r="H79" i="8" s="1"/>
  <c r="H75" i="8" a="1"/>
  <c r="H75" i="8" s="1"/>
  <c r="H71" i="8" a="1"/>
  <c r="H71" i="8" s="1"/>
  <c r="H67" i="8" a="1"/>
  <c r="H67" i="8" s="1"/>
  <c r="H63" i="8" a="1"/>
  <c r="H63" i="8" s="1"/>
  <c r="H59" i="8" a="1"/>
  <c r="H59" i="8" s="1"/>
  <c r="I98" i="8" a="1"/>
  <c r="I98" i="8" s="1"/>
  <c r="I94" i="8" a="1"/>
  <c r="I94" i="8" s="1"/>
  <c r="I90" i="8" a="1"/>
  <c r="I90" i="8" s="1"/>
  <c r="I86" i="8" a="1"/>
  <c r="I86" i="8" s="1"/>
  <c r="I82" i="8" a="1"/>
  <c r="I82" i="8" s="1"/>
  <c r="I78" i="8" a="1"/>
  <c r="I78" i="8" s="1"/>
  <c r="I74" i="8" a="1"/>
  <c r="I74" i="8" s="1"/>
  <c r="I70" i="8" a="1"/>
  <c r="I70" i="8" s="1"/>
  <c r="I66" i="8" a="1"/>
  <c r="I66" i="8" s="1"/>
  <c r="I62" i="8" a="1"/>
  <c r="I62" i="8" s="1"/>
  <c r="I58" i="8" a="1"/>
  <c r="I58" i="8" s="1"/>
  <c r="I54" i="8" a="1"/>
  <c r="I54" i="8" s="1"/>
  <c r="I50" i="8" a="1"/>
  <c r="I50" i="8" s="1"/>
  <c r="I46" i="8" a="1"/>
  <c r="I46" i="8" s="1"/>
  <c r="I42" i="8" a="1"/>
  <c r="I42" i="8" s="1"/>
  <c r="I38" i="8" a="1"/>
  <c r="I38" i="8" s="1"/>
  <c r="I34" i="8" a="1"/>
  <c r="I34" i="8" s="1"/>
  <c r="F97" i="8"/>
  <c r="F77" i="8"/>
  <c r="F69" i="8"/>
  <c r="F61" i="8"/>
  <c r="F49" i="8"/>
  <c r="F25" i="8"/>
  <c r="F21" i="8"/>
  <c r="F17" i="8"/>
  <c r="F9" i="8"/>
  <c r="F5" i="8"/>
  <c r="F96" i="8"/>
  <c r="F88" i="8"/>
  <c r="F76" i="8"/>
  <c r="F68" i="8"/>
  <c r="F52" i="8"/>
  <c r="F48" i="8"/>
  <c r="F28" i="8"/>
  <c r="F24" i="8"/>
  <c r="F20" i="8"/>
  <c r="F16" i="8"/>
  <c r="F8" i="8"/>
  <c r="F4" i="8"/>
  <c r="F39" i="8"/>
  <c r="S93" i="8"/>
  <c r="S89" i="8"/>
  <c r="S85" i="8"/>
  <c r="S77" i="8"/>
  <c r="S73" i="8"/>
  <c r="S69" i="8"/>
  <c r="S61" i="8"/>
  <c r="S57" i="8"/>
  <c r="S53" i="8"/>
  <c r="S45" i="8"/>
  <c r="S41" i="8"/>
  <c r="S37" i="8"/>
  <c r="S29" i="8"/>
  <c r="S25" i="8"/>
  <c r="S21" i="8"/>
  <c r="S13" i="8"/>
  <c r="S9" i="8"/>
  <c r="S100" i="8"/>
  <c r="S96" i="8"/>
  <c r="S92" i="8"/>
  <c r="S88" i="8"/>
  <c r="S84" i="8"/>
  <c r="S80" i="8"/>
  <c r="S76" i="8"/>
  <c r="S72" i="8"/>
  <c r="S68" i="8"/>
  <c r="S64" i="8"/>
  <c r="S60" i="8"/>
  <c r="S56" i="8"/>
  <c r="S4" i="8"/>
  <c r="S99" i="8"/>
  <c r="S95" i="8"/>
  <c r="S91" i="8"/>
  <c r="S87" i="8"/>
  <c r="S83" i="8"/>
  <c r="S79" i="8"/>
  <c r="S75" i="8"/>
  <c r="S71" i="8"/>
  <c r="S67" i="8"/>
  <c r="S63" i="8"/>
  <c r="S59" i="8"/>
  <c r="S55" i="8"/>
  <c r="S51" i="8"/>
  <c r="S47" i="8"/>
  <c r="S43" i="8"/>
  <c r="S39" i="8"/>
  <c r="S35" i="8"/>
  <c r="S31" i="8"/>
  <c r="S27" i="8"/>
  <c r="S23" i="8"/>
  <c r="S19" i="8"/>
  <c r="S15" i="8"/>
  <c r="S11" i="8"/>
  <c r="S7" i="8"/>
  <c r="S3" i="8"/>
  <c r="S97" i="8"/>
  <c r="S81" i="8"/>
  <c r="S65" i="8"/>
  <c r="S49" i="8"/>
  <c r="S33" i="8"/>
  <c r="S17" i="8"/>
  <c r="S98" i="8"/>
  <c r="S94" i="8"/>
  <c r="S90" i="8"/>
  <c r="S86" i="8"/>
  <c r="S82" i="8"/>
  <c r="S78" i="8"/>
  <c r="S74" i="8"/>
  <c r="S70" i="8"/>
  <c r="S66" i="8"/>
  <c r="S62" i="8"/>
  <c r="S58" i="8"/>
  <c r="S54" i="8"/>
  <c r="S50" i="8"/>
  <c r="S46" i="8"/>
  <c r="S42" i="8"/>
  <c r="S38" i="8"/>
  <c r="S34" i="8"/>
  <c r="S30" i="8"/>
  <c r="S26" i="8"/>
  <c r="S22" i="8"/>
  <c r="S18" i="8"/>
  <c r="S14" i="8"/>
  <c r="S10" i="8"/>
  <c r="S6" i="8"/>
  <c r="S2" i="8"/>
  <c r="S5" i="8"/>
  <c r="S52" i="8"/>
  <c r="S48" i="8"/>
  <c r="S44" i="8"/>
  <c r="S40" i="8"/>
  <c r="S36" i="8"/>
  <c r="S32" i="8"/>
  <c r="S28" i="8"/>
  <c r="S24" i="8"/>
  <c r="S20" i="8"/>
  <c r="S16" i="8"/>
  <c r="S12" i="8"/>
  <c r="S8" i="8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5" i="3"/>
  <c r="G4" i="3"/>
  <c r="G3" i="3"/>
  <c r="J14" i="1"/>
  <c r="J69" i="1"/>
  <c r="J65" i="1"/>
  <c r="J87" i="1"/>
  <c r="J53" i="1"/>
  <c r="J17" i="1"/>
  <c r="J7" i="1"/>
  <c r="J44" i="1"/>
  <c r="J40" i="1"/>
  <c r="J30" i="1"/>
  <c r="J15" i="1"/>
  <c r="J89" i="1"/>
  <c r="J50" i="1"/>
  <c r="J92" i="1"/>
  <c r="J4" i="1"/>
  <c r="J5" i="1"/>
  <c r="J59" i="1"/>
  <c r="J37" i="1"/>
  <c r="J35" i="1"/>
  <c r="J18" i="1"/>
  <c r="J21" i="1"/>
  <c r="J19" i="1"/>
  <c r="J9" i="1"/>
  <c r="J74" i="1"/>
  <c r="J43" i="1"/>
  <c r="J85" i="1"/>
  <c r="J33" i="1"/>
  <c r="J3" i="1"/>
  <c r="J73" i="1"/>
  <c r="J27" i="1"/>
  <c r="J31" i="1"/>
  <c r="J13" i="1"/>
  <c r="J11" i="1"/>
  <c r="J52" i="1"/>
  <c r="J46" i="1"/>
  <c r="J28" i="1"/>
  <c r="J25" i="1"/>
  <c r="J79" i="1"/>
  <c r="J76" i="1"/>
  <c r="J95" i="1"/>
  <c r="J75" i="1"/>
  <c r="J83" i="1"/>
  <c r="J2" i="1"/>
  <c r="J34" i="1"/>
  <c r="J10" i="1"/>
  <c r="J61" i="1"/>
  <c r="J24" i="1"/>
  <c r="J16" i="1"/>
  <c r="J77" i="1"/>
  <c r="J47" i="1"/>
  <c r="J36" i="1"/>
  <c r="J81" i="1"/>
  <c r="J91" i="1"/>
  <c r="J32" i="1"/>
  <c r="J72" i="1"/>
  <c r="J49" i="1"/>
  <c r="J39" i="1"/>
  <c r="J67" i="1"/>
  <c r="J12" i="1"/>
  <c r="J42" i="1"/>
  <c r="J78" i="1"/>
  <c r="J22" i="1"/>
  <c r="J48" i="1"/>
  <c r="J29" i="1"/>
  <c r="J90" i="1"/>
  <c r="J55" i="1"/>
  <c r="J60" i="1"/>
  <c r="J41" i="1"/>
  <c r="J70" i="1"/>
  <c r="J82" i="1"/>
  <c r="J80" i="1"/>
  <c r="J64" i="1"/>
  <c r="J56" i="1"/>
  <c r="J58" i="1"/>
  <c r="J57" i="1"/>
  <c r="J6" i="1"/>
  <c r="J71" i="1"/>
  <c r="J38" i="1"/>
  <c r="J20" i="1"/>
  <c r="J86" i="1"/>
  <c r="J63" i="1"/>
  <c r="J62" i="1"/>
  <c r="J94" i="1"/>
  <c r="J23" i="1"/>
  <c r="J68" i="1"/>
  <c r="J66" i="1"/>
  <c r="J88" i="1"/>
  <c r="J45" i="1"/>
  <c r="J26" i="1"/>
  <c r="J93" i="1"/>
  <c r="J8" i="1"/>
  <c r="J54" i="1"/>
  <c r="J84" i="1"/>
  <c r="J51" i="1"/>
  <c r="K69" i="1"/>
  <c r="K65" i="1"/>
  <c r="K87" i="1"/>
  <c r="K53" i="1"/>
  <c r="K17" i="1"/>
  <c r="K7" i="1"/>
  <c r="K44" i="1"/>
  <c r="K40" i="1"/>
  <c r="K30" i="1"/>
  <c r="K15" i="1"/>
  <c r="K89" i="1"/>
  <c r="K50" i="1"/>
  <c r="K92" i="1"/>
  <c r="K4" i="1"/>
  <c r="K59" i="1"/>
  <c r="K18" i="1"/>
  <c r="K21" i="1"/>
  <c r="K19" i="1"/>
  <c r="K9" i="1"/>
  <c r="K74" i="1"/>
  <c r="K43" i="1"/>
  <c r="K85" i="1"/>
  <c r="K33" i="1"/>
  <c r="K3" i="1"/>
  <c r="K73" i="1"/>
  <c r="K27" i="1"/>
  <c r="K31" i="1"/>
  <c r="K13" i="1"/>
  <c r="K11" i="1"/>
  <c r="K52" i="1"/>
  <c r="K46" i="1"/>
  <c r="K28" i="1"/>
  <c r="K25" i="1"/>
  <c r="K79" i="1"/>
  <c r="K76" i="1"/>
  <c r="K75" i="1"/>
  <c r="K83" i="1"/>
  <c r="K2" i="1"/>
  <c r="K34" i="1"/>
  <c r="K10" i="1"/>
  <c r="K61" i="1"/>
  <c r="K16" i="1"/>
  <c r="K77" i="1"/>
  <c r="K47" i="1"/>
  <c r="K36" i="1"/>
  <c r="K81" i="1"/>
  <c r="K91" i="1"/>
  <c r="K32" i="1"/>
  <c r="K72" i="1"/>
  <c r="K49" i="1"/>
  <c r="K39" i="1"/>
  <c r="K67" i="1"/>
  <c r="K12" i="1"/>
  <c r="K42" i="1"/>
  <c r="K78" i="1"/>
  <c r="K22" i="1"/>
  <c r="K48" i="1"/>
  <c r="K29" i="1"/>
  <c r="K90" i="1"/>
  <c r="K55" i="1"/>
  <c r="K60" i="1"/>
  <c r="K41" i="1"/>
  <c r="K70" i="1"/>
  <c r="K82" i="1"/>
  <c r="K80" i="1"/>
  <c r="K64" i="1"/>
  <c r="K56" i="1"/>
  <c r="K58" i="1"/>
  <c r="K57" i="1"/>
  <c r="K6" i="1"/>
  <c r="K71" i="1"/>
  <c r="K38" i="1"/>
  <c r="K20" i="1"/>
  <c r="K86" i="1"/>
  <c r="K63" i="1"/>
  <c r="K62" i="1"/>
  <c r="K94" i="1"/>
  <c r="K23" i="1"/>
  <c r="K68" i="1"/>
  <c r="K66" i="1"/>
  <c r="K88" i="1"/>
  <c r="K45" i="1"/>
  <c r="K26" i="1"/>
  <c r="K93" i="1"/>
  <c r="K8" i="1"/>
  <c r="K54" i="1"/>
  <c r="K84" i="1"/>
  <c r="K51" i="1"/>
  <c r="L315" i="4" l="1"/>
  <c r="L317" i="4"/>
  <c r="L316" i="4"/>
  <c r="L314" i="4"/>
  <c r="M42" i="8" s="1"/>
  <c r="L318" i="4"/>
  <c r="L564" i="4"/>
  <c r="L561" i="4"/>
  <c r="L565" i="4"/>
  <c r="L562" i="4"/>
  <c r="L566" i="4"/>
  <c r="L563" i="4"/>
  <c r="L567" i="4"/>
  <c r="L556" i="4"/>
  <c r="L560" i="4"/>
  <c r="L553" i="4"/>
  <c r="L557" i="4"/>
  <c r="L554" i="4"/>
  <c r="L558" i="4"/>
  <c r="L555" i="4"/>
  <c r="L559" i="4"/>
  <c r="L263" i="4"/>
  <c r="L267" i="4"/>
  <c r="L271" i="4"/>
  <c r="L275" i="4"/>
  <c r="L279" i="4"/>
  <c r="L261" i="4"/>
  <c r="L265" i="4"/>
  <c r="L269" i="4"/>
  <c r="L273" i="4"/>
  <c r="L277" i="4"/>
  <c r="L262" i="4"/>
  <c r="L270" i="4"/>
  <c r="L278" i="4"/>
  <c r="L264" i="4"/>
  <c r="L272" i="4"/>
  <c r="L276" i="4"/>
  <c r="L266" i="4"/>
  <c r="L268" i="4"/>
  <c r="L274" i="4"/>
  <c r="L77" i="4"/>
  <c r="M10" i="8" s="1"/>
  <c r="L78" i="4"/>
  <c r="L608" i="4"/>
  <c r="L612" i="4"/>
  <c r="L616" i="4"/>
  <c r="L620" i="4"/>
  <c r="L624" i="4"/>
  <c r="L609" i="4"/>
  <c r="L613" i="4"/>
  <c r="L617" i="4"/>
  <c r="L621" i="4"/>
  <c r="L625" i="4"/>
  <c r="L606" i="4"/>
  <c r="L610" i="4"/>
  <c r="L614" i="4"/>
  <c r="L618" i="4"/>
  <c r="L622" i="4"/>
  <c r="L607" i="4"/>
  <c r="L611" i="4"/>
  <c r="L615" i="4"/>
  <c r="L619" i="4"/>
  <c r="L623" i="4"/>
  <c r="L604" i="4"/>
  <c r="L605" i="4"/>
  <c r="L602" i="4"/>
  <c r="M94" i="8" s="1"/>
  <c r="L603" i="4"/>
  <c r="L203" i="4"/>
  <c r="L207" i="4"/>
  <c r="L211" i="4"/>
  <c r="L205" i="4"/>
  <c r="L209" i="4"/>
  <c r="L210" i="4"/>
  <c r="L204" i="4"/>
  <c r="L206" i="4"/>
  <c r="L208" i="4"/>
  <c r="L331" i="4"/>
  <c r="L333" i="4"/>
  <c r="L332" i="4"/>
  <c r="L330" i="4"/>
  <c r="M45" i="8" s="1"/>
  <c r="L143" i="4"/>
  <c r="L147" i="4"/>
  <c r="L141" i="4"/>
  <c r="L145" i="4"/>
  <c r="L149" i="4"/>
  <c r="L146" i="4"/>
  <c r="L140" i="4"/>
  <c r="L148" i="4"/>
  <c r="L142" i="4"/>
  <c r="L144" i="4"/>
  <c r="L150" i="4"/>
  <c r="L572" i="4"/>
  <c r="L576" i="4"/>
  <c r="L573" i="4"/>
  <c r="L577" i="4"/>
  <c r="L570" i="4"/>
  <c r="L574" i="4"/>
  <c r="L578" i="4"/>
  <c r="L571" i="4"/>
  <c r="L575" i="4"/>
  <c r="L227" i="4"/>
  <c r="M32" i="8" s="1"/>
  <c r="L231" i="4"/>
  <c r="L229" i="4"/>
  <c r="L230" i="4"/>
  <c r="L228" i="4"/>
  <c r="L175" i="4"/>
  <c r="L179" i="4"/>
  <c r="L183" i="4"/>
  <c r="L187" i="4"/>
  <c r="L173" i="4"/>
  <c r="L177" i="4"/>
  <c r="L181" i="4"/>
  <c r="L185" i="4"/>
  <c r="L189" i="4"/>
  <c r="L178" i="4"/>
  <c r="L186" i="4"/>
  <c r="L172" i="4"/>
  <c r="L180" i="4"/>
  <c r="L188" i="4"/>
  <c r="L184" i="4"/>
  <c r="L174" i="4"/>
  <c r="L176" i="4"/>
  <c r="L182" i="4"/>
  <c r="L119" i="4"/>
  <c r="L123" i="4"/>
  <c r="L127" i="4"/>
  <c r="L131" i="4"/>
  <c r="L135" i="4"/>
  <c r="L139" i="4"/>
  <c r="L121" i="4"/>
  <c r="L125" i="4"/>
  <c r="L129" i="4"/>
  <c r="L133" i="4"/>
  <c r="L137" i="4"/>
  <c r="L122" i="4"/>
  <c r="L130" i="4"/>
  <c r="L138" i="4"/>
  <c r="L124" i="4"/>
  <c r="L132" i="4"/>
  <c r="L120" i="4"/>
  <c r="L136" i="4"/>
  <c r="L126" i="4"/>
  <c r="L128" i="4"/>
  <c r="L118" i="4"/>
  <c r="L134" i="4"/>
  <c r="L476" i="4"/>
  <c r="L480" i="4"/>
  <c r="L484" i="4"/>
  <c r="L488" i="4"/>
  <c r="L492" i="4"/>
  <c r="L477" i="4"/>
  <c r="L482" i="4"/>
  <c r="L487" i="4"/>
  <c r="L493" i="4"/>
  <c r="L478" i="4"/>
  <c r="L483" i="4"/>
  <c r="L489" i="4"/>
  <c r="L479" i="4"/>
  <c r="L485" i="4"/>
  <c r="L490" i="4"/>
  <c r="L481" i="4"/>
  <c r="L486" i="4"/>
  <c r="L491" i="4"/>
  <c r="L372" i="4"/>
  <c r="L376" i="4"/>
  <c r="L370" i="4"/>
  <c r="L375" i="4"/>
  <c r="L371" i="4"/>
  <c r="L373" i="4"/>
  <c r="L369" i="4"/>
  <c r="M53" i="8" s="1"/>
  <c r="L374" i="4"/>
  <c r="L103" i="4"/>
  <c r="L107" i="4"/>
  <c r="L101" i="4"/>
  <c r="L105" i="4"/>
  <c r="L100" i="4"/>
  <c r="M13" i="8" s="1"/>
  <c r="L108" i="4"/>
  <c r="L102" i="4"/>
  <c r="L104" i="4"/>
  <c r="L106" i="4"/>
  <c r="L512" i="4"/>
  <c r="L514" i="4"/>
  <c r="L510" i="4"/>
  <c r="L515" i="4"/>
  <c r="L511" i="4"/>
  <c r="L513" i="4"/>
  <c r="L474" i="4"/>
  <c r="M66" i="8" s="1"/>
  <c r="L475" i="4"/>
  <c r="L580" i="4"/>
  <c r="L584" i="4"/>
  <c r="L588" i="4"/>
  <c r="L581" i="4"/>
  <c r="L585" i="4"/>
  <c r="L582" i="4"/>
  <c r="L586" i="4"/>
  <c r="L579" i="4"/>
  <c r="L583" i="4"/>
  <c r="L587" i="4"/>
  <c r="L225" i="4"/>
  <c r="L224" i="4"/>
  <c r="M31" i="8" s="1"/>
  <c r="L226" i="4"/>
  <c r="L516" i="4"/>
  <c r="L520" i="4"/>
  <c r="L524" i="4"/>
  <c r="L528" i="4"/>
  <c r="L532" i="4"/>
  <c r="L519" i="4"/>
  <c r="L525" i="4"/>
  <c r="L530" i="4"/>
  <c r="L521" i="4"/>
  <c r="L526" i="4"/>
  <c r="L531" i="4"/>
  <c r="L517" i="4"/>
  <c r="L522" i="4"/>
  <c r="L527" i="4"/>
  <c r="L533" i="4"/>
  <c r="L518" i="4"/>
  <c r="L523" i="4"/>
  <c r="L529" i="4"/>
  <c r="L534" i="4"/>
  <c r="L191" i="4"/>
  <c r="L195" i="4"/>
  <c r="L193" i="4"/>
  <c r="L194" i="4"/>
  <c r="L196" i="4"/>
  <c r="L190" i="4"/>
  <c r="L192" i="4"/>
  <c r="L628" i="4"/>
  <c r="L632" i="4"/>
  <c r="L629" i="4"/>
  <c r="L626" i="4"/>
  <c r="M99" i="8" s="1"/>
  <c r="L630" i="4"/>
  <c r="L627" i="4"/>
  <c r="L631" i="4"/>
  <c r="L239" i="4"/>
  <c r="L243" i="4"/>
  <c r="L247" i="4"/>
  <c r="L251" i="4"/>
  <c r="L255" i="4"/>
  <c r="L259" i="4"/>
  <c r="L241" i="4"/>
  <c r="L245" i="4"/>
  <c r="L249" i="4"/>
  <c r="L253" i="4"/>
  <c r="L257" i="4"/>
  <c r="L238" i="4"/>
  <c r="L246" i="4"/>
  <c r="L254" i="4"/>
  <c r="L240" i="4"/>
  <c r="L248" i="4"/>
  <c r="L256" i="4"/>
  <c r="L244" i="4"/>
  <c r="L260" i="4"/>
  <c r="L250" i="4"/>
  <c r="L252" i="4"/>
  <c r="L242" i="4"/>
  <c r="L258" i="4"/>
  <c r="L151" i="4"/>
  <c r="L155" i="4"/>
  <c r="L159" i="4"/>
  <c r="L163" i="4"/>
  <c r="L167" i="4"/>
  <c r="L171" i="4"/>
  <c r="L153" i="4"/>
  <c r="L157" i="4"/>
  <c r="L161" i="4"/>
  <c r="L165" i="4"/>
  <c r="L169" i="4"/>
  <c r="L154" i="4"/>
  <c r="L162" i="4"/>
  <c r="L170" i="4"/>
  <c r="L156" i="4"/>
  <c r="L164" i="4"/>
  <c r="L152" i="4"/>
  <c r="L168" i="4"/>
  <c r="L158" i="4"/>
  <c r="L160" i="4"/>
  <c r="L166" i="4"/>
  <c r="L500" i="4"/>
  <c r="L504" i="4"/>
  <c r="L508" i="4"/>
  <c r="L498" i="4"/>
  <c r="L503" i="4"/>
  <c r="L509" i="4"/>
  <c r="L499" i="4"/>
  <c r="L505" i="4"/>
  <c r="L501" i="4"/>
  <c r="L506" i="4"/>
  <c r="L497" i="4"/>
  <c r="L502" i="4"/>
  <c r="L507" i="4"/>
  <c r="L568" i="4"/>
  <c r="M86" i="8" s="1"/>
  <c r="L569" i="4"/>
  <c r="L283" i="4"/>
  <c r="L287" i="4"/>
  <c r="L291" i="4"/>
  <c r="L281" i="4"/>
  <c r="L285" i="4"/>
  <c r="L289" i="4"/>
  <c r="L293" i="4"/>
  <c r="L286" i="4"/>
  <c r="L280" i="4"/>
  <c r="L288" i="4"/>
  <c r="L292" i="4"/>
  <c r="L282" i="4"/>
  <c r="L284" i="4"/>
  <c r="L290" i="4"/>
  <c r="L351" i="4"/>
  <c r="L355" i="4"/>
  <c r="L349" i="4"/>
  <c r="L353" i="4"/>
  <c r="L348" i="4"/>
  <c r="L354" i="4"/>
  <c r="L350" i="4"/>
  <c r="L352" i="4"/>
  <c r="L472" i="4"/>
  <c r="L471" i="4"/>
  <c r="L473" i="4"/>
  <c r="L470" i="4"/>
  <c r="M65" i="8" s="1"/>
  <c r="L335" i="4"/>
  <c r="L339" i="4"/>
  <c r="L343" i="4"/>
  <c r="L347" i="4"/>
  <c r="L337" i="4"/>
  <c r="L341" i="4"/>
  <c r="L345" i="4"/>
  <c r="L340" i="4"/>
  <c r="L334" i="4"/>
  <c r="L344" i="4"/>
  <c r="L336" i="4"/>
  <c r="L346" i="4"/>
  <c r="L338" i="4"/>
  <c r="L342" i="4"/>
  <c r="L235" i="4"/>
  <c r="L233" i="4"/>
  <c r="L237" i="4"/>
  <c r="L232" i="4"/>
  <c r="M33" i="8" s="1"/>
  <c r="L234" i="4"/>
  <c r="L236" i="4"/>
  <c r="L380" i="4"/>
  <c r="L384" i="4"/>
  <c r="L381" i="4"/>
  <c r="L377" i="4"/>
  <c r="L382" i="4"/>
  <c r="L378" i="4"/>
  <c r="L383" i="4"/>
  <c r="L379" i="4"/>
  <c r="L432" i="4"/>
  <c r="L436" i="4"/>
  <c r="L440" i="4"/>
  <c r="L444" i="4"/>
  <c r="L448" i="4"/>
  <c r="L434" i="4"/>
  <c r="L439" i="4"/>
  <c r="L445" i="4"/>
  <c r="L435" i="4"/>
  <c r="L441" i="4"/>
  <c r="L446" i="4"/>
  <c r="L437" i="4"/>
  <c r="L442" i="4"/>
  <c r="L447" i="4"/>
  <c r="L433" i="4"/>
  <c r="L438" i="4"/>
  <c r="L443" i="4"/>
  <c r="L592" i="4"/>
  <c r="L596" i="4"/>
  <c r="L600" i="4"/>
  <c r="L589" i="4"/>
  <c r="L593" i="4"/>
  <c r="L597" i="4"/>
  <c r="L601" i="4"/>
  <c r="L590" i="4"/>
  <c r="L594" i="4"/>
  <c r="L598" i="4"/>
  <c r="L591" i="4"/>
  <c r="L595" i="4"/>
  <c r="L599" i="4"/>
  <c r="L39" i="4"/>
  <c r="L43" i="4"/>
  <c r="L47" i="4"/>
  <c r="L51" i="4"/>
  <c r="L37" i="4"/>
  <c r="L41" i="4"/>
  <c r="L45" i="4"/>
  <c r="L49" i="4"/>
  <c r="L53" i="4"/>
  <c r="L36" i="4"/>
  <c r="L44" i="4"/>
  <c r="L52" i="4"/>
  <c r="L38" i="4"/>
  <c r="L46" i="4"/>
  <c r="L40" i="4"/>
  <c r="L42" i="4"/>
  <c r="L48" i="4"/>
  <c r="L50" i="4"/>
  <c r="L55" i="4"/>
  <c r="L59" i="4"/>
  <c r="L63" i="4"/>
  <c r="L67" i="4"/>
  <c r="L71" i="4"/>
  <c r="L75" i="4"/>
  <c r="L57" i="4"/>
  <c r="L61" i="4"/>
  <c r="L65" i="4"/>
  <c r="L69" i="4"/>
  <c r="L73" i="4"/>
  <c r="L60" i="4"/>
  <c r="L68" i="4"/>
  <c r="L76" i="4"/>
  <c r="L54" i="4"/>
  <c r="L62" i="4"/>
  <c r="L70" i="4"/>
  <c r="L56" i="4"/>
  <c r="L72" i="4"/>
  <c r="L58" i="4"/>
  <c r="L74" i="4"/>
  <c r="L64" i="4"/>
  <c r="L66" i="4"/>
  <c r="L199" i="4"/>
  <c r="L197" i="4"/>
  <c r="M29" i="8" s="1"/>
  <c r="L201" i="4"/>
  <c r="L202" i="4"/>
  <c r="L200" i="4"/>
  <c r="L198" i="4"/>
  <c r="L496" i="4"/>
  <c r="L494" i="4"/>
  <c r="M70" i="8" s="1"/>
  <c r="L495" i="4"/>
  <c r="L359" i="4"/>
  <c r="L357" i="4"/>
  <c r="L361" i="4"/>
  <c r="L365" i="4"/>
  <c r="L356" i="4"/>
  <c r="L363" i="4"/>
  <c r="L368" i="4"/>
  <c r="L364" i="4"/>
  <c r="L358" i="4"/>
  <c r="L366" i="4"/>
  <c r="L360" i="4"/>
  <c r="L367" i="4"/>
  <c r="L362" i="4"/>
  <c r="L79" i="4"/>
  <c r="L83" i="4"/>
  <c r="L87" i="4"/>
  <c r="L91" i="4"/>
  <c r="L95" i="4"/>
  <c r="L99" i="4"/>
  <c r="L81" i="4"/>
  <c r="L85" i="4"/>
  <c r="L89" i="4"/>
  <c r="L93" i="4"/>
  <c r="L97" i="4"/>
  <c r="L84" i="4"/>
  <c r="L92" i="4"/>
  <c r="L86" i="4"/>
  <c r="L94" i="4"/>
  <c r="L88" i="4"/>
  <c r="L90" i="4"/>
  <c r="L80" i="4"/>
  <c r="L96" i="4"/>
  <c r="L82" i="4"/>
  <c r="L98" i="4"/>
  <c r="L552" i="4"/>
  <c r="L550" i="4"/>
  <c r="M80" i="8" s="1"/>
  <c r="L551" i="4"/>
  <c r="L3" i="4"/>
  <c r="L7" i="4"/>
  <c r="L11" i="4"/>
  <c r="L15" i="4"/>
  <c r="L19" i="4"/>
  <c r="L23" i="4"/>
  <c r="L27" i="4"/>
  <c r="L31" i="4"/>
  <c r="L35" i="4"/>
  <c r="L5" i="4"/>
  <c r="L9" i="4"/>
  <c r="L13" i="4"/>
  <c r="L17" i="4"/>
  <c r="L21" i="4"/>
  <c r="L25" i="4"/>
  <c r="L29" i="4"/>
  <c r="L33" i="4"/>
  <c r="L4" i="4"/>
  <c r="L12" i="4"/>
  <c r="L20" i="4"/>
  <c r="L28" i="4"/>
  <c r="L6" i="4"/>
  <c r="L14" i="4"/>
  <c r="L22" i="4"/>
  <c r="L30" i="4"/>
  <c r="L8" i="4"/>
  <c r="L24" i="4"/>
  <c r="L10" i="4"/>
  <c r="L26" i="4"/>
  <c r="L16" i="4"/>
  <c r="L32" i="4"/>
  <c r="L2" i="4"/>
  <c r="L18" i="4"/>
  <c r="L34" i="4"/>
  <c r="L536" i="4"/>
  <c r="L535" i="4"/>
  <c r="L540" i="4"/>
  <c r="L544" i="4"/>
  <c r="L548" i="4"/>
  <c r="L537" i="4"/>
  <c r="L541" i="4"/>
  <c r="L545" i="4"/>
  <c r="L549" i="4"/>
  <c r="L538" i="4"/>
  <c r="L542" i="4"/>
  <c r="L546" i="4"/>
  <c r="L539" i="4"/>
  <c r="L543" i="4"/>
  <c r="L547" i="4"/>
  <c r="L388" i="4"/>
  <c r="L392" i="4"/>
  <c r="L396" i="4"/>
  <c r="L400" i="4"/>
  <c r="L404" i="4"/>
  <c r="L408" i="4"/>
  <c r="L412" i="4"/>
  <c r="L416" i="4"/>
  <c r="L420" i="4"/>
  <c r="L424" i="4"/>
  <c r="L428" i="4"/>
  <c r="L386" i="4"/>
  <c r="L391" i="4"/>
  <c r="L397" i="4"/>
  <c r="L402" i="4"/>
  <c r="L407" i="4"/>
  <c r="L413" i="4"/>
  <c r="L418" i="4"/>
  <c r="L423" i="4"/>
  <c r="L429" i="4"/>
  <c r="L387" i="4"/>
  <c r="L393" i="4"/>
  <c r="L398" i="4"/>
  <c r="L403" i="4"/>
  <c r="L409" i="4"/>
  <c r="L414" i="4"/>
  <c r="L419" i="4"/>
  <c r="L425" i="4"/>
  <c r="L430" i="4"/>
  <c r="L389" i="4"/>
  <c r="L394" i="4"/>
  <c r="L399" i="4"/>
  <c r="L405" i="4"/>
  <c r="L410" i="4"/>
  <c r="L415" i="4"/>
  <c r="L421" i="4"/>
  <c r="L426" i="4"/>
  <c r="L431" i="4"/>
  <c r="L385" i="4"/>
  <c r="L390" i="4"/>
  <c r="L395" i="4"/>
  <c r="L401" i="4"/>
  <c r="L406" i="4"/>
  <c r="L411" i="4"/>
  <c r="L417" i="4"/>
  <c r="L422" i="4"/>
  <c r="L427" i="4"/>
  <c r="L319" i="4"/>
  <c r="L323" i="4"/>
  <c r="L327" i="4"/>
  <c r="L321" i="4"/>
  <c r="L325" i="4"/>
  <c r="L329" i="4"/>
  <c r="L324" i="4"/>
  <c r="L322" i="4"/>
  <c r="L326" i="4"/>
  <c r="L328" i="4"/>
  <c r="L320" i="4"/>
  <c r="L452" i="4"/>
  <c r="L456" i="4"/>
  <c r="L460" i="4"/>
  <c r="L464" i="4"/>
  <c r="L468" i="4"/>
  <c r="L450" i="4"/>
  <c r="L455" i="4"/>
  <c r="L461" i="4"/>
  <c r="L466" i="4"/>
  <c r="L451" i="4"/>
  <c r="L457" i="4"/>
  <c r="L462" i="4"/>
  <c r="L467" i="4"/>
  <c r="L453" i="4"/>
  <c r="L458" i="4"/>
  <c r="L463" i="4"/>
  <c r="L469" i="4"/>
  <c r="L449" i="4"/>
  <c r="L454" i="4"/>
  <c r="L459" i="4"/>
  <c r="L465" i="4"/>
  <c r="M8" i="8" l="1"/>
  <c r="M7" i="8"/>
  <c r="M9" i="8"/>
  <c r="M22" i="8"/>
  <c r="M23" i="8"/>
  <c r="M27" i="8"/>
  <c r="M28" i="8"/>
  <c r="M43" i="8"/>
  <c r="M44" i="8"/>
  <c r="M12" i="8"/>
  <c r="M11" i="8"/>
  <c r="M71" i="8"/>
  <c r="M72" i="8"/>
  <c r="M24" i="8"/>
  <c r="M25" i="8"/>
  <c r="M26" i="8"/>
  <c r="M58" i="8"/>
  <c r="M59" i="8"/>
  <c r="M56" i="8"/>
  <c r="M57" i="8"/>
  <c r="M78" i="8"/>
  <c r="M79" i="8"/>
  <c r="M3" i="8"/>
  <c r="M2" i="8"/>
  <c r="M51" i="8"/>
  <c r="M52" i="8"/>
  <c r="M91" i="8"/>
  <c r="M93" i="8"/>
  <c r="M92" i="8"/>
  <c r="M60" i="8"/>
  <c r="M61" i="8"/>
  <c r="M48" i="8"/>
  <c r="M46" i="8"/>
  <c r="M47" i="8"/>
  <c r="M50" i="8"/>
  <c r="M49" i="8"/>
  <c r="M89" i="8"/>
  <c r="M90" i="8"/>
  <c r="M15" i="8"/>
  <c r="M16" i="8"/>
  <c r="M17" i="8"/>
  <c r="M18" i="8"/>
  <c r="M88" i="8"/>
  <c r="M87" i="8"/>
  <c r="M37" i="8"/>
  <c r="M36" i="8"/>
  <c r="M39" i="8"/>
  <c r="M38" i="8"/>
  <c r="M35" i="8"/>
  <c r="M34" i="8"/>
  <c r="M77" i="8"/>
  <c r="M75" i="8"/>
  <c r="M76" i="8"/>
  <c r="M67" i="8"/>
  <c r="M68" i="8"/>
  <c r="M69" i="8"/>
  <c r="M98" i="8"/>
  <c r="M95" i="8"/>
  <c r="M97" i="8"/>
  <c r="M96" i="8"/>
  <c r="M63" i="8"/>
  <c r="M62" i="8"/>
  <c r="M64" i="8"/>
  <c r="M81" i="8"/>
  <c r="M82" i="8"/>
  <c r="M83" i="8"/>
  <c r="M85" i="8"/>
  <c r="M84" i="8"/>
  <c r="M6" i="8"/>
  <c r="M4" i="8"/>
  <c r="M5" i="8"/>
  <c r="M54" i="8"/>
  <c r="M55" i="8"/>
  <c r="M74" i="8"/>
  <c r="M73" i="8"/>
  <c r="M19" i="8"/>
  <c r="M21" i="8"/>
  <c r="M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tc={75135100-D8AC-495A-A366-6BEE6E09FF6F}</author>
    <author>tc={5E7E6F7F-BA9C-4432-B9B3-0F3EDDE1700C}</author>
  </authors>
  <commentList>
    <comment ref="A4" authorId="0" shapeId="0" xr:uid="{75135100-D8AC-495A-A366-6BEE6E09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between first egg laid and last egg laid (i.e. first day of incubation)</t>
      </text>
    </comment>
    <comment ref="A5" authorId="1" shapeId="0" xr:uid="{5E7E6F7F-BA9C-4432-B9B3-0F3EDDE1700C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between the start and end of incubation (i.e. the first day of hatching)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tc={CBEF0ED5-A9A5-4AE7-A159-9E2F94836455}</author>
  </authors>
  <commentList>
    <comment ref="K1" authorId="0" shapeId="0" xr:uid="{CBEF0ED5-A9A5-4AE7-A159-9E2F94836455}">
      <text>
        <t>[Threaded comment]
Your version of Excel allows you to read this threaded comment; however, any edits to it will get removed if the file is opened in a newer version of Excel. Learn more: https://go.microsoft.com/fwlink/?linkid=870924
Comment:
    N/A entries mean 0 eggs hatched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<sst xmlns="http://schemas.openxmlformats.org/spreadsheetml/2006/main" count="4331" uniqueCount="377">
  <si>
    <t>Nest_box_ID</t>
  </si>
  <si>
    <t>Hatch_date</t>
  </si>
  <si>
    <t>First_egg_lay_date</t>
  </si>
  <si>
    <t>Incubation_start_date</t>
  </si>
  <si>
    <t>Breeding_attempt</t>
  </si>
  <si>
    <t>Breeding_season</t>
  </si>
  <si>
    <t>Female_c_band</t>
  </si>
  <si>
    <t>Male_c_band</t>
  </si>
  <si>
    <t>Number_eggs_laid</t>
  </si>
  <si>
    <t>2019/2020</t>
  </si>
  <si>
    <t>B1/26</t>
  </si>
  <si>
    <t>BB/2</t>
  </si>
  <si>
    <t>B6/2</t>
  </si>
  <si>
    <t>SD/5</t>
  </si>
  <si>
    <t>B3/10</t>
  </si>
  <si>
    <t>B1/9</t>
  </si>
  <si>
    <t>B1/13B</t>
  </si>
  <si>
    <t>B22/30</t>
  </si>
  <si>
    <t>B22/25</t>
  </si>
  <si>
    <t>B21/2</t>
  </si>
  <si>
    <t>B1/27B</t>
  </si>
  <si>
    <t>SV/2</t>
  </si>
  <si>
    <t>B23/8</t>
  </si>
  <si>
    <t>WV/4</t>
  </si>
  <si>
    <t>WR/1</t>
  </si>
  <si>
    <t>B1/11</t>
  </si>
  <si>
    <t>B1/13A</t>
  </si>
  <si>
    <t>B4/1</t>
  </si>
  <si>
    <t>B22/21</t>
  </si>
  <si>
    <t>B22/2</t>
  </si>
  <si>
    <t>B1/PA2</t>
  </si>
  <si>
    <t>B2/14</t>
  </si>
  <si>
    <t>B2/11</t>
  </si>
  <si>
    <t>B1/19</t>
  </si>
  <si>
    <t>FB/4</t>
  </si>
  <si>
    <t>B22/29</t>
  </si>
  <si>
    <t>SD/3</t>
  </si>
  <si>
    <t>B22/14</t>
  </si>
  <si>
    <t>AB/3</t>
  </si>
  <si>
    <t>FB/1</t>
  </si>
  <si>
    <t>B21/11</t>
  </si>
  <si>
    <t>B21/4</t>
  </si>
  <si>
    <t>B1/25</t>
  </si>
  <si>
    <t>B1/23</t>
  </si>
  <si>
    <t>B3/1</t>
  </si>
  <si>
    <t>B22/37</t>
  </si>
  <si>
    <t>B21/13</t>
  </si>
  <si>
    <t>B2/9</t>
  </si>
  <si>
    <t>LHV/4</t>
  </si>
  <si>
    <t>FL/4</t>
  </si>
  <si>
    <t>WV/11</t>
  </si>
  <si>
    <t>FL/2</t>
  </si>
  <si>
    <t>SC/4</t>
  </si>
  <si>
    <t>AB/1</t>
  </si>
  <si>
    <t>B22/1A</t>
  </si>
  <si>
    <t>B1/2</t>
  </si>
  <si>
    <t>B4/5</t>
  </si>
  <si>
    <t>B2/8</t>
  </si>
  <si>
    <t>B1/28</t>
  </si>
  <si>
    <t>KB/1</t>
  </si>
  <si>
    <t>B22/4</t>
  </si>
  <si>
    <t>NJ/2</t>
  </si>
  <si>
    <t>SV/4</t>
  </si>
  <si>
    <t>B21/8</t>
  </si>
  <si>
    <t>DB/4</t>
  </si>
  <si>
    <t>B23/7</t>
  </si>
  <si>
    <t>B22/23</t>
  </si>
  <si>
    <t>B6/4</t>
  </si>
  <si>
    <t>B1/24</t>
  </si>
  <si>
    <t>B22/28</t>
  </si>
  <si>
    <t>LHV/2</t>
  </si>
  <si>
    <t>B2/15</t>
  </si>
  <si>
    <t>B22/9</t>
  </si>
  <si>
    <t>B21/14</t>
  </si>
  <si>
    <t>SV/3</t>
  </si>
  <si>
    <t>B3/2</t>
  </si>
  <si>
    <t>B4/3</t>
  </si>
  <si>
    <t>B22/26</t>
  </si>
  <si>
    <t>BH/2</t>
  </si>
  <si>
    <t>SC/3</t>
  </si>
  <si>
    <t>LHV/6</t>
  </si>
  <si>
    <t>B5/6</t>
  </si>
  <si>
    <t>B3/5</t>
  </si>
  <si>
    <t>B3/9</t>
  </si>
  <si>
    <t>B3/7</t>
  </si>
  <si>
    <t>CH/1</t>
  </si>
  <si>
    <t>B22/22</t>
  </si>
  <si>
    <t>B2/13</t>
  </si>
  <si>
    <t>SD/4</t>
  </si>
  <si>
    <t>B5/2</t>
  </si>
  <si>
    <t>B5/1</t>
  </si>
  <si>
    <t>WR/4</t>
  </si>
  <si>
    <t>B2/4</t>
  </si>
  <si>
    <t>BB/1</t>
  </si>
  <si>
    <t>SD/7</t>
  </si>
  <si>
    <t>B22/31</t>
  </si>
  <si>
    <t>B21/1</t>
  </si>
  <si>
    <t>WR/2</t>
  </si>
  <si>
    <t>SD/2</t>
  </si>
  <si>
    <t>CP9222</t>
  </si>
  <si>
    <t>CP8272</t>
  </si>
  <si>
    <t>CP9223</t>
  </si>
  <si>
    <t>CP11820</t>
  </si>
  <si>
    <t>CP11865</t>
  </si>
  <si>
    <t>CP13444</t>
  </si>
  <si>
    <t>CP13077</t>
  </si>
  <si>
    <t>CP9214</t>
  </si>
  <si>
    <t>CP13437</t>
  </si>
  <si>
    <t>CP8110</t>
  </si>
  <si>
    <t>CP8115</t>
  </si>
  <si>
    <t>CP13016</t>
  </si>
  <si>
    <t>CP11802</t>
  </si>
  <si>
    <t>CP8271</t>
  </si>
  <si>
    <t>CP8270</t>
  </si>
  <si>
    <t>CP11845</t>
  </si>
  <si>
    <t>CP11877</t>
  </si>
  <si>
    <t>CP8183</t>
  </si>
  <si>
    <t>CP13055</t>
  </si>
  <si>
    <t>CP13521</t>
  </si>
  <si>
    <t>CP13563</t>
  </si>
  <si>
    <t>CP11840</t>
  </si>
  <si>
    <t>CP13502</t>
  </si>
  <si>
    <t>CP12997</t>
  </si>
  <si>
    <t>CP13474</t>
  </si>
  <si>
    <t>CP8281</t>
  </si>
  <si>
    <t>CP8238</t>
  </si>
  <si>
    <t>CP5035</t>
  </si>
  <si>
    <t>CP13045</t>
  </si>
  <si>
    <t>CP8214</t>
  </si>
  <si>
    <t>CP13498</t>
  </si>
  <si>
    <t>CP13061</t>
  </si>
  <si>
    <t>CP12961</t>
  </si>
  <si>
    <t>C94455</t>
  </si>
  <si>
    <t>CP12981</t>
  </si>
  <si>
    <t>CP13445</t>
  </si>
  <si>
    <t>CP13462</t>
  </si>
  <si>
    <t>CP13419</t>
  </si>
  <si>
    <t>CP13084</t>
  </si>
  <si>
    <t>C94406</t>
  </si>
  <si>
    <t>CP5099</t>
  </si>
  <si>
    <t>CP8157</t>
  </si>
  <si>
    <t>CP13047</t>
  </si>
  <si>
    <t>CP12909</t>
  </si>
  <si>
    <t>CP13554</t>
  </si>
  <si>
    <t>CP13553</t>
  </si>
  <si>
    <t>CP13417</t>
  </si>
  <si>
    <t>CP13487</t>
  </si>
  <si>
    <t>CP13510</t>
  </si>
  <si>
    <t>C94466</t>
  </si>
  <si>
    <t>CP13527</t>
  </si>
  <si>
    <t>CP13446</t>
  </si>
  <si>
    <t>CP12983</t>
  </si>
  <si>
    <t>CP13495</t>
  </si>
  <si>
    <t>CP11804</t>
  </si>
  <si>
    <t>CP9232</t>
  </si>
  <si>
    <t>CP12980</t>
  </si>
  <si>
    <t>CP12972</t>
  </si>
  <si>
    <t>CP13020</t>
  </si>
  <si>
    <t>CP12941</t>
  </si>
  <si>
    <t>CP12905</t>
  </si>
  <si>
    <t>CP12933</t>
  </si>
  <si>
    <t>CP13003</t>
  </si>
  <si>
    <t>CP13068</t>
  </si>
  <si>
    <t>CP13505</t>
  </si>
  <si>
    <t>CP11856</t>
  </si>
  <si>
    <t>CP13021</t>
  </si>
  <si>
    <t>CP13457</t>
  </si>
  <si>
    <t>CP8287</t>
  </si>
  <si>
    <t>CP13052</t>
  </si>
  <si>
    <t>CP12998</t>
  </si>
  <si>
    <t>CP13041</t>
  </si>
  <si>
    <t>CP13465</t>
  </si>
  <si>
    <t>CP13454</t>
  </si>
  <si>
    <t>CP13507</t>
  </si>
  <si>
    <t>CP13422</t>
  </si>
  <si>
    <t>CP13547</t>
  </si>
  <si>
    <t>CP13562</t>
  </si>
  <si>
    <t>CP8268</t>
  </si>
  <si>
    <t>CP9233</t>
  </si>
  <si>
    <t>CP5051</t>
  </si>
  <si>
    <t>C94437</t>
  </si>
  <si>
    <t>CP8283</t>
  </si>
  <si>
    <t>C89916</t>
  </si>
  <si>
    <t>CP8202</t>
  </si>
  <si>
    <t>CP11880</t>
  </si>
  <si>
    <t>CP2746</t>
  </si>
  <si>
    <t>C75694</t>
  </si>
  <si>
    <t>CP13050</t>
  </si>
  <si>
    <t>CP9260</t>
  </si>
  <si>
    <t>CP8131</t>
  </si>
  <si>
    <t>CP11879</t>
  </si>
  <si>
    <t>CP11878</t>
  </si>
  <si>
    <t>CP8292</t>
  </si>
  <si>
    <t>CP12937</t>
  </si>
  <si>
    <t>CP2724</t>
  </si>
  <si>
    <t>CP8137</t>
  </si>
  <si>
    <t>CP13519</t>
  </si>
  <si>
    <t>CP8253</t>
  </si>
  <si>
    <t>CP8217</t>
  </si>
  <si>
    <t>CP12913</t>
  </si>
  <si>
    <t>CP12917</t>
  </si>
  <si>
    <t>CP9207</t>
  </si>
  <si>
    <t>CP9253</t>
  </si>
  <si>
    <t>CP8128</t>
  </si>
  <si>
    <t>CP9218</t>
  </si>
  <si>
    <t>CP11854</t>
  </si>
  <si>
    <t>CP13486</t>
  </si>
  <si>
    <t>CP13413</t>
  </si>
  <si>
    <t>CP13091</t>
  </si>
  <si>
    <t>C94454</t>
  </si>
  <si>
    <t>CP12974</t>
  </si>
  <si>
    <t>CP13512</t>
  </si>
  <si>
    <t>CP13450</t>
  </si>
  <si>
    <t>CP11867</t>
  </si>
  <si>
    <t>CP9203</t>
  </si>
  <si>
    <t>CP5100</t>
  </si>
  <si>
    <t>CP8184</t>
  </si>
  <si>
    <t>CP8297</t>
  </si>
  <si>
    <t>CP13019</t>
  </si>
  <si>
    <t>CP13499</t>
  </si>
  <si>
    <t>C75686</t>
  </si>
  <si>
    <t>CP12977</t>
  </si>
  <si>
    <t>CP13073</t>
  </si>
  <si>
    <t>CP5013</t>
  </si>
  <si>
    <t>CP13447</t>
  </si>
  <si>
    <t>CP13520</t>
  </si>
  <si>
    <t>CP13555</t>
  </si>
  <si>
    <t>CP11860</t>
  </si>
  <si>
    <t>CP13426</t>
  </si>
  <si>
    <t>CP8170</t>
  </si>
  <si>
    <t>CP9220</t>
  </si>
  <si>
    <t>CP9280</t>
  </si>
  <si>
    <t>CP13480</t>
  </si>
  <si>
    <t>CP8165</t>
  </si>
  <si>
    <t>CP13005</t>
  </si>
  <si>
    <t>CP11806</t>
  </si>
  <si>
    <t>CP13049</t>
  </si>
  <si>
    <t>CP12978</t>
  </si>
  <si>
    <t>CP13034</t>
  </si>
  <si>
    <t>C94456</t>
  </si>
  <si>
    <t>CP12967</t>
  </si>
  <si>
    <t>CP13552</t>
  </si>
  <si>
    <t>CP8228</t>
  </si>
  <si>
    <t>CP11853</t>
  </si>
  <si>
    <t>CP13070</t>
  </si>
  <si>
    <t>CP12942</t>
  </si>
  <si>
    <t>C90922</t>
  </si>
  <si>
    <t>CP13069</t>
  </si>
  <si>
    <t>CP13428</t>
  </si>
  <si>
    <t>CP11810</t>
  </si>
  <si>
    <t>CP8168</t>
  </si>
  <si>
    <t>CP13039</t>
  </si>
  <si>
    <t>R1</t>
  </si>
  <si>
    <t>Laying_gap_presence</t>
  </si>
  <si>
    <t>N/A</t>
  </si>
  <si>
    <t xml:space="preserve">Variable </t>
  </si>
  <si>
    <t>Visual</t>
  </si>
  <si>
    <t>Histogram</t>
  </si>
  <si>
    <t>Bar plot</t>
  </si>
  <si>
    <t xml:space="preserve">Descriptive statistics </t>
  </si>
  <si>
    <t>Mean</t>
  </si>
  <si>
    <t>Median</t>
  </si>
  <si>
    <t xml:space="preserve">Mode </t>
  </si>
  <si>
    <t>Variance</t>
  </si>
  <si>
    <t>Range</t>
  </si>
  <si>
    <t>SD</t>
  </si>
  <si>
    <t>No_eggs_laid</t>
  </si>
  <si>
    <t>Laying_time_days</t>
  </si>
  <si>
    <t>Inc_period_days</t>
  </si>
  <si>
    <t>Laying_gap_pres</t>
  </si>
  <si>
    <t>Normal distribution</t>
  </si>
  <si>
    <t>Skew towards 14 days</t>
  </si>
  <si>
    <t>Incub_start_to_hatch_length_days</t>
  </si>
  <si>
    <t>First_egg_to_incub_start_days</t>
  </si>
  <si>
    <t>Nest</t>
  </si>
  <si>
    <t>Day_of_inc</t>
  </si>
  <si>
    <t>Obs_date</t>
  </si>
  <si>
    <t>Total_on_bout_duration</t>
  </si>
  <si>
    <t>Total_off_bout_duration</t>
  </si>
  <si>
    <t>On_bout_frequency</t>
  </si>
  <si>
    <t>Off_bout_frequency</t>
  </si>
  <si>
    <t>Skew towards 0 laying gap</t>
  </si>
  <si>
    <t>Habitat_type</t>
  </si>
  <si>
    <t>Incub_start_date</t>
  </si>
  <si>
    <t>Column1</t>
  </si>
  <si>
    <t>right-skewed; bimodal</t>
  </si>
  <si>
    <t>~15</t>
  </si>
  <si>
    <t>~16;~21</t>
  </si>
  <si>
    <t>~14'~18</t>
  </si>
  <si>
    <t>slightly left-skewed; biomodal</t>
  </si>
  <si>
    <t xml:space="preserve">normal; multimodal </t>
  </si>
  <si>
    <t>ibutton_temp_nest</t>
  </si>
  <si>
    <t xml:space="preserve">slightly left-skewed; symetrical </t>
  </si>
  <si>
    <t>~16</t>
  </si>
  <si>
    <t>ibutton_start_date</t>
  </si>
  <si>
    <t>ibutton_end_date</t>
  </si>
  <si>
    <t>ibutton_start_time</t>
  </si>
  <si>
    <t xml:space="preserve">ibutton_end_time </t>
  </si>
  <si>
    <t>ibutton_location</t>
  </si>
  <si>
    <t>Left-skewed, U-shaped distribution, bimodal</t>
  </si>
  <si>
    <t>Heavily right-skewed distribution</t>
  </si>
  <si>
    <t>Flat plot, no mode</t>
  </si>
  <si>
    <t>U-shaped distribution, no mode</t>
  </si>
  <si>
    <t>~15/11/19; ~21/11/19</t>
  </si>
  <si>
    <t>52 days</t>
  </si>
  <si>
    <t>60 days</t>
  </si>
  <si>
    <t>~26/11/19; 27/11/19</t>
  </si>
  <si>
    <t xml:space="preserve">1213 minutes </t>
  </si>
  <si>
    <t xml:space="preserve">1313 minutes </t>
  </si>
  <si>
    <t xml:space="preserve">Female_ID </t>
  </si>
  <si>
    <t>Inc_day</t>
  </si>
  <si>
    <t>Bout_type_on_off</t>
  </si>
  <si>
    <t>Obs_length_minutes</t>
  </si>
  <si>
    <t>On_bout_duration_seconds</t>
  </si>
  <si>
    <t>Off_bout_duration_seconds</t>
  </si>
  <si>
    <t>Obs_day_of_inc</t>
  </si>
  <si>
    <t>Left-skewed, one clear mode</t>
  </si>
  <si>
    <t>Extremely left-skewed, bimodal</t>
  </si>
  <si>
    <t>Total_obs_duration_minutes</t>
  </si>
  <si>
    <t>off</t>
  </si>
  <si>
    <t>on</t>
  </si>
  <si>
    <t>Clutch_size</t>
  </si>
  <si>
    <t>Inc_start_date</t>
  </si>
  <si>
    <t>Obs_Niwa_daily_av_ambient_temp_celcius</t>
  </si>
  <si>
    <t>station</t>
  </si>
  <si>
    <t>date</t>
  </si>
  <si>
    <t>time</t>
  </si>
  <si>
    <t>tmax</t>
  </si>
  <si>
    <t>period</t>
  </si>
  <si>
    <t>tmin</t>
  </si>
  <si>
    <t>av_temp</t>
  </si>
  <si>
    <t>Tiri Tiri Lighthouse</t>
  </si>
  <si>
    <t>Laying_gap</t>
  </si>
  <si>
    <t>Bout_duration_seconds</t>
  </si>
  <si>
    <t>Obs_bout_time</t>
  </si>
  <si>
    <t>Nest box ID</t>
  </si>
  <si>
    <t>Success</t>
  </si>
  <si>
    <t>Clutch</t>
  </si>
  <si>
    <t>Clutch size</t>
  </si>
  <si>
    <t>Chicks hatched</t>
  </si>
  <si>
    <t>Chicks banded</t>
  </si>
  <si>
    <t>Chicks fledged</t>
  </si>
  <si>
    <t>Female cohort</t>
  </si>
  <si>
    <t>Female C-band</t>
  </si>
  <si>
    <t>F</t>
  </si>
  <si>
    <t>2017/2018</t>
  </si>
  <si>
    <t>S</t>
  </si>
  <si>
    <t>2018/2019</t>
  </si>
  <si>
    <t>2016/2017</t>
  </si>
  <si>
    <t>2013/2014</t>
  </si>
  <si>
    <t>2015/2016</t>
  </si>
  <si>
    <t>2014/2015</t>
  </si>
  <si>
    <t>Female_cohort</t>
  </si>
  <si>
    <t>Female_age</t>
  </si>
  <si>
    <t>Inc_period_length_days</t>
  </si>
  <si>
    <t>Total_obs_length_minutes</t>
  </si>
  <si>
    <t>Female_ID</t>
  </si>
  <si>
    <t>Total_on_bout_duration_seconds</t>
  </si>
  <si>
    <t>Total_obs_length_seconds</t>
  </si>
  <si>
    <t>On_bout_proportion</t>
  </si>
  <si>
    <t>Lay_date_av_temp</t>
  </si>
  <si>
    <t>Obs_Av_daily_temp_celcius</t>
  </si>
  <si>
    <t>Lay_av_temp_celcius</t>
  </si>
  <si>
    <t>Off_bout_proportion</t>
  </si>
  <si>
    <t>lay_av_temp_celcius</t>
  </si>
  <si>
    <t>obs_niwa_tmin_celcius</t>
  </si>
  <si>
    <t>obs_niwa_tmax_celcius</t>
  </si>
  <si>
    <t>obs_niwa_av_temp_celcius</t>
  </si>
  <si>
    <t xml:space="preserve">Left-skewed </t>
  </si>
  <si>
    <t>Obs_start_time</t>
  </si>
  <si>
    <t>Nest_ID</t>
  </si>
  <si>
    <t>Inc_stage</t>
  </si>
  <si>
    <t>Start_Obs_Time</t>
  </si>
  <si>
    <t>End_Obs_Time</t>
  </si>
  <si>
    <t>Middle</t>
  </si>
  <si>
    <t>Late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</si>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</sst>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h:mm:ss;@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2" borderId="0" xfId="0" applyFill="1"/>
    <xf numFmtId="14" fontId="0" fillId="0" borderId="0" xfId="0" applyNumberFormat="1"/>
    <xf numFmtId="0" fontId="2" fillId="3" borderId="2" xfId="0" applyFont="1" applyFill="1" applyBorder="1"/>
    <xf numFmtId="14" fontId="2" fillId="3" borderId="2" xfId="0" applyNumberFormat="1" applyFont="1" applyFill="1" applyBorder="1"/>
    <xf numFmtId="2" fontId="0" fillId="0" borderId="0" xfId="0" applyNumberFormat="1"/>
    <xf numFmtId="165" fontId="2" fillId="3" borderId="2" xfId="0" applyNumberFormat="1" applyFont="1" applyFill="1" applyBorder="1"/>
    <xf numFmtId="165" fontId="0" fillId="0" borderId="0" xfId="0" applyNumberFormat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0" fontId="4" fillId="5" borderId="2" xfId="0" applyFont="1" applyFill="1" applyBorder="1"/>
    <xf numFmtId="165" fontId="4" fillId="5" borderId="2" xfId="0" applyNumberFormat="1" applyFont="1" applyFill="1" applyBorder="1"/>
    <xf numFmtId="1" fontId="4" fillId="5" borderId="2" xfId="0" applyNumberFormat="1" applyFont="1" applyFill="1" applyBorder="1"/>
    <xf numFmtId="1" fontId="0" fillId="0" borderId="0" xfId="0" applyNumberFormat="1"/>
    <xf numFmtId="14" fontId="4" fillId="5" borderId="2" xfId="0" applyNumberFormat="1" applyFont="1" applyFill="1" applyBorder="1"/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right"/>
    </xf>
    <xf numFmtId="0" fontId="0" fillId="6" borderId="7" xfId="0" applyFill="1" applyBorder="1"/>
    <xf numFmtId="0" fontId="0" fillId="6" borderId="8" xfId="0" applyFill="1" applyBorder="1"/>
    <xf numFmtId="0" fontId="0" fillId="6" borderId="8" xfId="0" applyFill="1" applyBorder="1" applyAlignment="1">
      <alignment horizontal="right"/>
    </xf>
    <xf numFmtId="14" fontId="0" fillId="6" borderId="8" xfId="0" applyNumberFormat="1" applyFill="1" applyBorder="1"/>
    <xf numFmtId="21" fontId="0" fillId="6" borderId="8" xfId="0" applyNumberFormat="1" applyFill="1" applyBorder="1"/>
    <xf numFmtId="0" fontId="0" fillId="6" borderId="9" xfId="0" applyFill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right"/>
    </xf>
    <xf numFmtId="14" fontId="0" fillId="0" borderId="8" xfId="0" applyNumberFormat="1" applyBorder="1"/>
    <xf numFmtId="21" fontId="0" fillId="0" borderId="8" xfId="0" applyNumberFormat="1" applyBorder="1"/>
    <xf numFmtId="0" fontId="0" fillId="0" borderId="12" xfId="0" applyBorder="1"/>
    <xf numFmtId="14" fontId="0" fillId="6" borderId="8" xfId="0" applyNumberFormat="1" applyFill="1" applyBorder="1" applyAlignment="1">
      <alignment horizontal="right"/>
    </xf>
    <xf numFmtId="21" fontId="0" fillId="6" borderId="8" xfId="0" applyNumberFormat="1" applyFill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6" borderId="10" xfId="0" applyFill="1" applyBorder="1"/>
    <xf numFmtId="0" fontId="0" fillId="6" borderId="11" xfId="0" applyFill="1" applyBorder="1"/>
    <xf numFmtId="0" fontId="0" fillId="6" borderId="11" xfId="0" applyFill="1" applyBorder="1" applyAlignment="1">
      <alignment horizontal="right"/>
    </xf>
    <xf numFmtId="0" fontId="0" fillId="6" borderId="12" xfId="0" applyFill="1" applyBorder="1" applyAlignment="1">
      <alignment horizontal="right"/>
    </xf>
    <xf numFmtId="0" fontId="0" fillId="7" borderId="8" xfId="0" applyFill="1" applyBorder="1" applyAlignment="1">
      <alignment horizontal="right"/>
    </xf>
    <xf numFmtId="14" fontId="0" fillId="0" borderId="8" xfId="0" applyNumberFormat="1" applyBorder="1" applyAlignment="1">
      <alignment horizontal="right"/>
    </xf>
    <xf numFmtId="21" fontId="0" fillId="0" borderId="8" xfId="0" applyNumberFormat="1" applyBorder="1" applyAlignment="1">
      <alignment horizontal="right"/>
    </xf>
    <xf numFmtId="0" fontId="0" fillId="0" borderId="9" xfId="0" applyBorder="1"/>
    <xf numFmtId="0" fontId="0" fillId="6" borderId="9" xfId="0" applyFill="1" applyBorder="1"/>
    <xf numFmtId="0" fontId="0" fillId="0" borderId="12" xfId="0" applyBorder="1" applyAlignment="1">
      <alignment horizontal="right"/>
    </xf>
    <xf numFmtId="14" fontId="0" fillId="0" borderId="11" xfId="0" applyNumberFormat="1" applyBorder="1"/>
    <xf numFmtId="21" fontId="0" fillId="0" borderId="11" xfId="0" applyNumberFormat="1" applyBorder="1"/>
    <xf numFmtId="14" fontId="0" fillId="6" borderId="11" xfId="0" applyNumberFormat="1" applyFill="1" applyBorder="1"/>
    <xf numFmtId="21" fontId="0" fillId="6" borderId="11" xfId="0" applyNumberFormat="1" applyFill="1" applyBorder="1"/>
    <xf numFmtId="0" fontId="0" fillId="7" borderId="11" xfId="0" applyFill="1" applyBorder="1" applyAlignment="1">
      <alignment horizontal="right"/>
    </xf>
    <xf numFmtId="14" fontId="0" fillId="6" borderId="11" xfId="0" applyNumberFormat="1" applyFill="1" applyBorder="1" applyAlignment="1">
      <alignment horizontal="right"/>
    </xf>
    <xf numFmtId="21" fontId="0" fillId="6" borderId="11" xfId="0" applyNumberFormat="1" applyFill="1" applyBorder="1" applyAlignment="1">
      <alignment horizontal="right"/>
    </xf>
    <xf numFmtId="14" fontId="0" fillId="0" borderId="11" xfId="0" applyNumberFormat="1" applyBorder="1" applyAlignment="1">
      <alignment horizontal="right"/>
    </xf>
    <xf numFmtId="0" fontId="0" fillId="6" borderId="12" xfId="0" applyFill="1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right"/>
    </xf>
    <xf numFmtId="14" fontId="0" fillId="0" borderId="14" xfId="0" applyNumberFormat="1" applyBorder="1"/>
    <xf numFmtId="21" fontId="0" fillId="0" borderId="14" xfId="0" applyNumberFormat="1" applyBorder="1"/>
    <xf numFmtId="0" fontId="0" fillId="0" borderId="15" xfId="0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7">
    <dxf>
      <numFmt numFmtId="0" formatCode="General"/>
    </dxf>
    <dxf>
      <numFmt numFmtId="1" formatCode="0"/>
    </dxf>
    <dxf>
      <numFmt numFmtId="165" formatCode="hh:mm:ss;@"/>
    </dxf>
    <dxf>
      <numFmt numFmtId="0" formatCode="General"/>
    </dxf>
    <dxf>
      <numFmt numFmtId="165" formatCode="hh:mm:ss;@"/>
    </dxf>
    <dxf>
      <numFmt numFmtId="0" formatCode="General"/>
    </dxf>
    <dxf>
      <numFmt numFmtId="0" formatCode="General"/>
    </dxf>
    <dxf>
      <numFmt numFmtId="165" formatCode="hh:mm:ss;@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165" formatCode="hh:mm:ss;@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2" formatCode="0.00"/>
    </dxf>
    <dxf>
      <numFmt numFmtId="19" formatCode="dd/mm/yyyy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164" formatCode="[$-F800]dddd\,\ mmmm\ dd\,\ yyyy"/>
      <alignment horizontal="right" vertical="bottom" textRotation="0" wrapText="0" indent="0" justifyLastLine="0" shrinkToFit="0" readingOrder="0"/>
    </dxf>
    <dxf>
      <numFmt numFmtId="164" formatCode="[$-F800]dddd\,\ mmmm\ dd\,\ yyyy"/>
      <alignment horizontal="right" vertical="bottom" textRotation="0" wrapText="0" indent="0" justifyLastLine="0" shrinkToFit="0" readingOrder="0"/>
    </dxf>
    <dxf>
      <numFmt numFmtId="164" formatCode="[$-F800]dddd\,\ mmmm\ dd\,\ 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oe Cobb" id="{8CC6D198-9588-43F5-AEE2-0F7E38C91CD7}" userId="2ef878fdf05399b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68001-583D-44F1-8B90-21293E9D9AF1}" name="Table1" displayName="Table1" ref="A1:M96" totalsRowShown="0">
  <autoFilter ref="A1:M96" xr:uid="{91768001-583D-44F1-8B90-21293E9D9AF1}"/>
  <sortState xmlns:xlrd2="http://schemas.microsoft.com/office/spreadsheetml/2017/richdata2" ref="A2:M96">
    <sortCondition ref="A1:A96"/>
  </sortState>
  <tableColumns count="13">
    <tableColumn id="2" xr3:uid="{BF191CEE-D20C-46D8-A96C-12DDD369D88B}" name="Nest_box_ID" dataDxfId="46"/>
    <tableColumn id="19" xr3:uid="{CBB84DB9-4598-47F4-9F9E-F2613BC52C3A}" name="Breeding_season"/>
    <tableColumn id="11" xr3:uid="{1CACB07A-0D98-4C06-A1F9-8F242F1DD401}" name="Breeding_attempt" dataDxfId="45"/>
    <tableColumn id="3" xr3:uid="{29632D8C-B82A-4D48-9687-BCDE0208D9B4}" name="Female_c_band" dataDxfId="44"/>
    <tableColumn id="5" xr3:uid="{E9B87641-4E79-4912-B086-57EF0807C5C0}" name="Male_c_band" dataDxfId="43"/>
    <tableColumn id="7" xr3:uid="{5D4F36B1-9979-42A4-B518-AA037E6F67D8}" name="First_egg_lay_date" dataDxfId="42"/>
    <tableColumn id="16" xr3:uid="{3244D2E7-D203-4415-843E-CF0C44CC211D}" name="Number_eggs_laid"/>
    <tableColumn id="8" xr3:uid="{3205ED18-FB52-457A-87DA-1B447AC53507}" name="Incubation_start_date" dataDxfId="41"/>
    <tableColumn id="9" xr3:uid="{4B3162A3-8B40-4ED0-8AFC-332C742D3BEC}" name="Hatch_date" dataDxfId="40"/>
    <tableColumn id="1" xr3:uid="{9926A128-C9EC-408B-9DEB-D58C876EE703}" name="First_egg_to_incub_start_days" dataDxfId="39">
      <calculatedColumnFormula>Table1[[#This Row],[Incubation_start_date]]-Table1[[#This Row],[First_egg_lay_date]]</calculatedColumnFormula>
    </tableColumn>
    <tableColumn id="13" xr3:uid="{5175EFE8-9814-40C6-96F5-301B882C1ECB}" name="Incub_start_to_hatch_length_days" dataDxfId="38">
      <calculatedColumnFormula>Table1[[#This Row],[Hatch_date]]-Table1[[#This Row],[Incubation_start_date]]</calculatedColumnFormula>
    </tableColumn>
    <tableColumn id="17" xr3:uid="{A9568F29-E313-4EDB-BCE5-DA24ADFA808B}" name="Laying_gap_presence" dataDxfId="37"/>
    <tableColumn id="20" xr3:uid="{2DD7192F-FE23-4102-970F-AA3632A98B41}" name="Column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F8B78-B912-459E-90C9-A0608DBA25F1}" name="Table14" displayName="Table14" ref="A1:G181" totalsRowShown="0">
  <autoFilter ref="A1:G181" xr:uid="{4E8F8B78-B912-459E-90C9-A0608DBA25F1}"/>
  <tableColumns count="7">
    <tableColumn id="1" xr3:uid="{949A9BC4-4615-413B-B094-BA5F93FD198E}" name="station"/>
    <tableColumn id="2" xr3:uid="{C7D9784E-F9DD-4931-878E-F0C1A087B829}" name="date" dataDxfId="36"/>
    <tableColumn id="3" xr3:uid="{C703B72F-CE2E-4B92-8C4B-8FF9F7EECC43}" name="time"/>
    <tableColumn id="4" xr3:uid="{33EDE9CC-6555-4798-9579-BC046D74E7E1}" name="tmax"/>
    <tableColumn id="5" xr3:uid="{19E0348E-2F35-4ABF-B727-0B61F2F293FF}" name="period"/>
    <tableColumn id="6" xr3:uid="{86CD0E87-3226-4B94-A340-1614E0A96D18}" name="tmin"/>
    <tableColumn id="7" xr3:uid="{CA00C65D-5EA5-49E4-86D7-4C5A6828CD2C}" name="av_temp" dataDxfId="35">
      <calculatedColumnFormula>GEOMEAN(D2,F2)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FAD0DD-C37A-4663-B344-C7961D5404CC}" name="Table4" displayName="Table4" ref="A1:I96" totalsRowShown="0" headerRowDxfId="34" headerRowBorderDxfId="33" tableBorderDxfId="32">
  <autoFilter ref="A1:I96" xr:uid="{EAFAD0DD-C37A-4663-B344-C7961D5404CC}"/>
  <tableColumns count="9">
    <tableColumn id="1" xr3:uid="{E7D73BEE-346E-47E9-91B5-60F1C5CE75CE}" name="Nest box ID"/>
    <tableColumn id="2" xr3:uid="{9AE0C5C2-EECE-4CD1-AA1F-6071CD3754A2}" name="Success"/>
    <tableColumn id="3" xr3:uid="{08CA61B0-A49D-4797-9384-08E2D5717E20}" name="Clutch" dataDxfId="31"/>
    <tableColumn id="4" xr3:uid="{6E07B8B4-EFC3-438C-89E1-3604B9441F05}" name="Clutch size"/>
    <tableColumn id="5" xr3:uid="{01452D1A-08AF-4FD3-AF69-B497ABBE8D62}" name="Chicks hatched"/>
    <tableColumn id="6" xr3:uid="{06BECFE3-5E97-4692-9ACE-FF5A76548A7A}" name="Chicks banded"/>
    <tableColumn id="7" xr3:uid="{A3948135-D66B-4848-8C23-22FB32D13283}" name="Chicks fledged"/>
    <tableColumn id="8" xr3:uid="{B8117125-2DB6-45A6-963B-EF061FD18DA0}" name="Female cohort"/>
    <tableColumn id="9" xr3:uid="{B1E68D1E-0CC1-463F-A21C-7E75FF34ECFF}" name="Female C-band" dataDxfId="3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FAB650-51C1-41CC-9AAC-D7E4E62A625D}" name="Table2" displayName="Table2" ref="A1:T637" totalsRowShown="0" headerRowDxfId="29" headerRowBorderDxfId="28">
  <autoFilter ref="A1:T637" xr:uid="{12FAB650-51C1-41CC-9AAC-D7E4E62A625D}">
    <filterColumn colId="11">
      <filters>
        <filter val="14"/>
        <filter val="15"/>
        <filter val="16"/>
      </filters>
    </filterColumn>
    <filterColumn colId="16">
      <filters>
        <filter val="off"/>
      </filters>
    </filterColumn>
    <filterColumn colId="17">
      <filters>
        <filter val="1000"/>
        <filter val="1008"/>
        <filter val="1040"/>
        <filter val="105"/>
        <filter val="1119"/>
        <filter val="1122"/>
        <filter val="1127"/>
        <filter val="115"/>
        <filter val="120"/>
        <filter val="125"/>
        <filter val="128"/>
        <filter val="132"/>
        <filter val="1380"/>
        <filter val="140"/>
        <filter val="142"/>
        <filter val="146"/>
        <filter val="154"/>
        <filter val="1547"/>
        <filter val="156"/>
        <filter val="158"/>
        <filter val="159"/>
        <filter val="160"/>
        <filter val="162"/>
        <filter val="175"/>
        <filter val="178"/>
        <filter val="181"/>
        <filter val="187"/>
        <filter val="189"/>
        <filter val="190"/>
        <filter val="191"/>
        <filter val="192"/>
        <filter val="194"/>
        <filter val="196"/>
        <filter val="199"/>
        <filter val="202"/>
        <filter val="208"/>
        <filter val="209"/>
        <filter val="210"/>
        <filter val="213"/>
        <filter val="220"/>
        <filter val="221"/>
        <filter val="222"/>
        <filter val="224"/>
        <filter val="227"/>
        <filter val="228"/>
        <filter val="230"/>
        <filter val="231"/>
        <filter val="2318"/>
        <filter val="232"/>
        <filter val="237"/>
        <filter val="240"/>
        <filter val="242"/>
        <filter val="246"/>
        <filter val="247"/>
        <filter val="248"/>
        <filter val="25"/>
        <filter val="250"/>
        <filter val="252"/>
        <filter val="253"/>
        <filter val="254"/>
        <filter val="257"/>
        <filter val="258"/>
        <filter val="259"/>
        <filter val="262"/>
        <filter val="270"/>
        <filter val="272"/>
        <filter val="274"/>
        <filter val="276"/>
        <filter val="278"/>
        <filter val="279"/>
        <filter val="280"/>
        <filter val="281"/>
        <filter val="284"/>
        <filter val="285"/>
        <filter val="286"/>
        <filter val="288"/>
        <filter val="289"/>
        <filter val="292"/>
        <filter val="294"/>
        <filter val="296"/>
        <filter val="298"/>
        <filter val="30"/>
        <filter val="300"/>
        <filter val="301"/>
        <filter val="303"/>
        <filter val="304"/>
        <filter val="308"/>
        <filter val="309"/>
        <filter val="31"/>
        <filter val="310"/>
        <filter val="312"/>
        <filter val="317"/>
        <filter val="319"/>
        <filter val="322"/>
        <filter val="323"/>
        <filter val="325"/>
        <filter val="326"/>
        <filter val="327"/>
        <filter val="328"/>
        <filter val="330"/>
        <filter val="331"/>
        <filter val="338"/>
        <filter val="340"/>
        <filter val="341"/>
        <filter val="342"/>
        <filter val="344"/>
        <filter val="346"/>
        <filter val="348"/>
        <filter val="349"/>
        <filter val="350"/>
        <filter val="351"/>
        <filter val="352"/>
        <filter val="353"/>
        <filter val="354"/>
        <filter val="358"/>
        <filter val="359"/>
        <filter val="36"/>
        <filter val="360"/>
        <filter val="361"/>
        <filter val="362"/>
        <filter val="364"/>
        <filter val="367"/>
        <filter val="369"/>
        <filter val="37"/>
        <filter val="370"/>
        <filter val="372"/>
        <filter val="374"/>
        <filter val="377"/>
        <filter val="378"/>
        <filter val="379"/>
        <filter val="380"/>
        <filter val="382"/>
        <filter val="383"/>
        <filter val="385"/>
        <filter val="386"/>
        <filter val="387"/>
        <filter val="388"/>
        <filter val="391"/>
        <filter val="392"/>
        <filter val="393"/>
        <filter val="395"/>
        <filter val="397"/>
        <filter val="398"/>
        <filter val="399"/>
        <filter val="40"/>
        <filter val="401"/>
        <filter val="410"/>
        <filter val="414"/>
        <filter val="416"/>
        <filter val="420"/>
        <filter val="422"/>
        <filter val="426"/>
        <filter val="430"/>
        <filter val="431"/>
        <filter val="434"/>
        <filter val="44"/>
        <filter val="442"/>
        <filter val="454"/>
        <filter val="461"/>
        <filter val="469"/>
        <filter val="48"/>
        <filter val="485"/>
        <filter val="487"/>
        <filter val="488"/>
        <filter val="489"/>
        <filter val="490"/>
        <filter val="505"/>
        <filter val="507"/>
        <filter val="508"/>
        <filter val="510"/>
        <filter val="512"/>
        <filter val="516"/>
        <filter val="52"/>
        <filter val="522"/>
        <filter val="528"/>
        <filter val="55"/>
        <filter val="565"/>
        <filter val="577"/>
        <filter val="5868"/>
        <filter val="6"/>
        <filter val="60"/>
        <filter val="63"/>
        <filter val="632"/>
        <filter val="65"/>
        <filter val="651"/>
        <filter val="66"/>
        <filter val="668"/>
        <filter val="678"/>
        <filter val="68"/>
        <filter val="690"/>
        <filter val="729"/>
        <filter val="759"/>
        <filter val="772"/>
        <filter val="80"/>
        <filter val="82"/>
        <filter val="83"/>
        <filter val="835"/>
        <filter val="87"/>
        <filter val="89"/>
        <filter val="92"/>
        <filter val="992"/>
      </filters>
    </filterColumn>
  </autoFilter>
  <tableColumns count="20">
    <tableColumn id="1" xr3:uid="{0C22A6C2-58B0-44EE-A6CB-66A40C0A07C4}" name="Breeding_season"/>
    <tableColumn id="2" xr3:uid="{80C075C3-E6C7-47F5-BF3D-968CD2ED4F54}" name="Nest_box_ID"/>
    <tableColumn id="3" xr3:uid="{7FF538E7-BDB6-4A7F-BAD8-1758463CBD45}" name="Female_ID "/>
    <tableColumn id="4" xr3:uid="{68927F59-A92F-4FD1-9CF4-18C249A3FEFE}" name="Female_cohort" dataDxfId="27">
      <calculatedColumnFormula>_xlfn.XLOOKUP(Table2[[#This Row],[Female_ID ]],'19-20_female_cohort'!I:I,'19-20_female_cohort'!H:H, "No Match")</calculatedColumnFormula>
    </tableColumn>
    <tableColumn id="12" xr3:uid="{60D71881-50D5-4BC9-8989-DF2C887C7F46}" name="Female_age"/>
    <tableColumn id="5" xr3:uid="{8C8A312F-9AF6-46ED-B942-E97790D096A0}" name="First_egg_lay_date" dataDxfId="26"/>
    <tableColumn id="20" xr3:uid="{75ADC4C3-FBB2-491D-8F61-4FC44CE3DA6E}" name="Lay_av_temp_celcius" dataDxfId="25">
      <calculatedColumnFormula>_xlfn.XLOOKUP(Table2[[#This Row],[First_egg_lay_date]],'19-20_niwa_temp_data'!B:B,'19-20_niwa_temp_data'!G:G, "No Match")</calculatedColumnFormula>
    </tableColumn>
    <tableColumn id="14" xr3:uid="{D3D76002-CB5A-4F13-B0AA-440C20CCCB42}" name="Clutch_size"/>
    <tableColumn id="16" xr3:uid="{ABEA5741-5A30-47E9-9EE4-56C9A1DC917F}" name="Inc_start_date" dataDxfId="24"/>
    <tableColumn id="18" xr3:uid="{4237B47A-FB6B-46A7-A69D-B1398ADD9D2B}" name="Laying_gap" dataDxfId="23">
      <calculatedColumnFormula>_xlfn.XLOOKUP(Table2[[#This Row],[Nest_box_ID]],Sheet1!A:A,Sheet1!L:L, "No Match")</calculatedColumnFormula>
    </tableColumn>
    <tableColumn id="15" xr3:uid="{F3D4D009-43CA-4DEC-B561-C91FB92300E7}" name="Hatch_date" dataDxfId="22"/>
    <tableColumn id="13" xr3:uid="{AC511D6C-15F6-44A6-9955-D767EFFE9FA1}" name="Inc_period_length_days" dataDxfId="21">
      <calculatedColumnFormula>_xlfn.XLOOKUP(Table2[[#This Row],[Nest_box_ID]],Sheet1!A:A,Sheet1!K:K, "No Match")</calculatedColumnFormula>
    </tableColumn>
    <tableColumn id="6" xr3:uid="{8BFB8E19-ECDA-43CA-A66E-CAB37851822E}" name="Obs_date" dataDxfId="20"/>
    <tableColumn id="17" xr3:uid="{5D3B19A5-2D5C-4D5F-B59A-C707C899A01A}" name="Obs_bout_time" dataDxfId="19"/>
    <tableColumn id="7" xr3:uid="{E208ECE6-DE8B-4C57-B20A-2A4EFA3D086F}" name="Inc_day"/>
    <tableColumn id="8" xr3:uid="{AD3934FC-ABF9-4121-B81A-5E7A59FD5424}" name="Total_obs_duration_minutes"/>
    <tableColumn id="9" xr3:uid="{26C656CE-41C8-41DB-AF39-D77F429076B9}" name="Bout_type_on_off"/>
    <tableColumn id="10" xr3:uid="{0DA651BA-65C7-4F78-B5F3-8529E579E90D}" name="Bout_duration_seconds"/>
    <tableColumn id="11" xr3:uid="{5BE5C5D6-6F90-43BF-8405-02CD2D26F3AE}" name="Obs_Niwa_daily_av_ambient_temp_celcius" dataDxfId="18">
      <calculatedColumnFormula>_xlfn.XLOOKUP(Table2[[#This Row],[Obs_date]],'19-20_niwa_temp_data'!B:B,'19-20_niwa_temp_data'!G:G, "N/A")</calculatedColumnFormula>
    </tableColumn>
    <tableColumn id="19" xr3:uid="{8440FBEB-2A18-41DE-8456-AE2B1A4450A0}" name="Lay_date_av_temp" dataDxfId="17">
      <calculatedColumnFormula>_xlfn.XLOOKUP(Table2[[#This Row],[First_egg_lay_date]],'19-20_niwa_temp_data'!B:B,'19-20_niwa_temp_data'!G:G, "No Match")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855E1-F438-4B99-BFD8-7C6DFE38EE43}" name="Table6" displayName="Table6" ref="A1:S100" totalsRowShown="0" headerRowDxfId="16" headerRowBorderDxfId="15">
  <autoFilter ref="A1:S100" xr:uid="{D28855E1-F438-4B99-BFD8-7C6DFE38EE43}"/>
  <sortState xmlns:xlrd2="http://schemas.microsoft.com/office/spreadsheetml/2017/richdata2" ref="A2:S100">
    <sortCondition ref="B1:B100"/>
  </sortState>
  <tableColumns count="19">
    <tableColumn id="1" xr3:uid="{EADA3245-A920-4D56-8C43-479D9C758298}" name="Breeding_season"/>
    <tableColumn id="2" xr3:uid="{FBC8851C-F1FA-4BE5-B86C-2447B1B13B0C}" name="Nest"/>
    <tableColumn id="3" xr3:uid="{8E8D8325-82CE-4E6A-A3DD-7F242FF966BB}" name="Female_ID" dataDxfId="14"/>
    <tableColumn id="15" xr3:uid="{6A45230E-6EC9-4B86-BEF1-E32FE5A3AE6B}" name="Female_age" dataDxfId="13">
      <calculatedColumnFormula>_xlfn.XLOOKUP(Table6[[#This Row],[Female_ID]],Model_draft_inc_temp_data!C:C,Model_draft_inc_temp_data!E:E,"No Match")</calculatedColumnFormula>
    </tableColumn>
    <tableColumn id="17" xr3:uid="{BF9C9148-A2B3-4138-AC8D-8FA2619E6E49}" name="Clutch_size" dataDxfId="12">
      <calculatedColumnFormula>_xlfn.XLOOKUP(Table6[[#This Row],[Nest]],Model_draft_inc_temp_data!B:B,Model_draft_inc_temp_data!H:H, "No Match")</calculatedColumnFormula>
    </tableColumn>
    <tableColumn id="16" xr3:uid="{C95AE4B9-C414-4A0A-85E4-14DA55B43536}" name="Laying_gap" dataDxfId="11">
      <calculatedColumnFormula>_xlfn.XLOOKUP(Table6[[#This Row],[Nest]],Model_draft_inc_temp_data!B:B,Model_draft_inc_temp_data!J:J, "No Match")</calculatedColumnFormula>
    </tableColumn>
    <tableColumn id="4" xr3:uid="{DE705CA5-3F27-466F-BFDE-C88698035A37}" name="Day_of_inc"/>
    <tableColumn id="9" xr3:uid="{3C03F098-9D3B-4098-88FC-E38BA3C1A614}" name="First_egg_lay_date" dataDxfId="10">
      <calculatedColumnFormula array="1">_xlfn.XLOOKUP(Table6[[#This Row],[Nest]]&amp;Table6[[#This Row],[Obs_date]],Model_draft_inc_temp_data!B:B&amp;Model_draft_inc_temp_data!M:M,Model_draft_inc_temp_data!F:F, "No Match")</calculatedColumnFormula>
    </tableColumn>
    <tableColumn id="8" xr3:uid="{1861C542-FE06-4FC4-939A-DB6B0F39BD4D}" name="Inc_start_date" dataDxfId="9">
      <calculatedColumnFormula array="1">_xlfn.XLOOKUP(Table6[[#This Row],[Nest]]&amp;Table6[[#This Row],[Obs_date]], Model_draft_inc_temp_data!B:B&amp;Model_draft_inc_temp_data!M:M, Model_draft_inc_temp_data!I:I, "No Match")</calculatedColumnFormula>
    </tableColumn>
    <tableColumn id="18" xr3:uid="{6E4E56B5-79DB-42EB-A64B-8CE901CD0926}" name="Obs_date" dataDxfId="8">
      <calculatedColumnFormula array="1">_xlfn.XLOOKUP(Table6[[#This Row],[Nest]]&amp;Table6[[#This Row],[Day_of_inc]],Model_draft_inc_temp_data!B:B&amp;Model_draft_inc_temp_data!O:O,Model_draft_inc_temp_data!M:M, "No Match")</calculatedColumnFormula>
    </tableColumn>
    <tableColumn id="10" xr3:uid="{E718D945-79BD-4AA8-9F6A-EF32B14E558E}" name="Obs_start_time" dataDxfId="7">
      <calculatedColumnFormula array="1">_xlfn.XLOOKUP(Table6[[#This Row],[Nest]]&amp;Table6[[#This Row],[Obs_date]],Sheet2!B:B&amp;Sheet2!E:E, Sheet2!F:F, "No Match")</calculatedColumnFormula>
    </tableColumn>
    <tableColumn id="19" xr3:uid="{1E8398D4-4559-4422-BAB1-9C93FCD05A7D}" name="Obs_Av_daily_temp_celcius" dataDxfId="6">
      <calculatedColumnFormula>_xlfn.XLOOKUP(Table6[[#This Row],[Obs_date]],'19-20_niwa_temp_data'!B:B,'19-20_niwa_temp_data'!G:G, "No Match")</calculatedColumnFormula>
    </tableColumn>
    <tableColumn id="14" xr3:uid="{F81B3735-2C78-4186-8529-C83E49CEEA43}" name="Inc_period_length_days" dataDxfId="5">
      <calculatedColumnFormula>_xlfn.XLOOKUP(Table6[[#This Row],[Nest]],Model_draft_inc_temp_data!B:B,Model_draft_inc_temp_data!L:L, "No Match")</calculatedColumnFormula>
    </tableColumn>
    <tableColumn id="5" xr3:uid="{3A8C6D13-4FEB-4034-BB50-60B927EB7FF6}" name="Total_on_bout_duration" dataDxfId="4"/>
    <tableColumn id="12" xr3:uid="{08028559-3471-4D39-A054-B946411C69CD}" name="Total_on_bout_duration_seconds" dataDxfId="3">
      <calculatedColumnFormula>Table6[[#This Row],[Total_on_bout_duration]]*86400</calculatedColumnFormula>
    </tableColumn>
    <tableColumn id="6" xr3:uid="{88DAB6DC-EF8D-4A66-B7C9-963A61EA30BA}" name="Total_off_bout_duration" dataDxfId="2"/>
    <tableColumn id="7" xr3:uid="{296AD81E-C201-4E69-9F57-DED1D0DDACEE}" name="Total_obs_length_minutes"/>
    <tableColumn id="13" xr3:uid="{35B3E8B7-4EA2-4925-842F-BF70E40ECFBE}" name="Total_obs_length_seconds" dataDxfId="1">
      <calculatedColumnFormula>Table6[[#This Row],[Total_obs_length_minutes]]*60</calculatedColumnFormula>
    </tableColumn>
    <tableColumn id="11" xr3:uid="{010FE4DA-DF7F-4A93-9398-40FC075D530A}" name="On_bout_proportion" dataDxfId="0">
      <calculatedColumnFormula>Table6[[#This Row],[Total_on_bout_duration_seconds]]/Table6[[#This Row],[Total_obs_length_seconds]]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6-24T11:19:02.03" personId="{8CC6D198-9588-43F5-AEE2-0F7E38C91CD7}" id="{75135100-D8AC-495A-A366-6BEE6E09FF6F}">
    <text>Number of days between first egg laid and last egg laid (i.e. first day of incubation)</text>
  </threadedComment>
  <threadedComment ref="A5" dT="2026-06-24T11:19:35.51" personId="{8CC6D198-9588-43F5-AEE2-0F7E38C91CD7}" id="{5E7E6F7F-BA9C-4432-B9B3-0F3EDDE1700C}">
    <text>Number of days between the start and end of incubation (i.e. the first day of hatching)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" dT="2026-07-29T15:18:46.69" personId="{8CC6D198-9588-43F5-AEE2-0F7E38C91CD7}" id="{CBEF0ED5-A9A5-4AE7-A159-9E2F94836455}">
    <text>N/A entries mean 0 eggs hatched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6F0B-E733-4802-A594-4BB073AE5F64}">
  <dimension ref="A1:M96"/>
  <sheetViews>
    <sheetView zoomScale="80" zoomScaleNormal="80" workbookViewId="0">
      <pane xSplit="1" topLeftCell="B1" activePane="topRight" state="frozen"/>
      <selection pane="topRight" activeCell="C1" sqref="C1"/>
    </sheetView>
  </sheetViews>
  <sheetFormatPr defaultRowHeight="14.5" x14ac:dyDescent="0.35"/>
  <cols>
    <col min="1" max="1" width="13.08984375" customWidth="1"/>
    <col min="2" max="2" width="17.26953125" bestFit="1" customWidth="1"/>
    <col min="3" max="3" width="18" bestFit="1" customWidth="1"/>
    <col min="4" max="4" width="16.26953125" bestFit="1" customWidth="1"/>
    <col min="5" max="5" width="14" bestFit="1" customWidth="1"/>
    <col min="6" max="7" width="18" customWidth="1"/>
    <col min="8" max="8" width="21.08984375" style="5" customWidth="1"/>
    <col min="9" max="9" width="16.54296875" style="5" bestFit="1" customWidth="1"/>
    <col min="10" max="10" width="16.08984375" customWidth="1"/>
    <col min="11" max="11" width="29.26953125" style="5" bestFit="1" customWidth="1"/>
    <col min="12" max="12" width="11.81640625" bestFit="1" customWidth="1"/>
    <col min="13" max="13" width="20.1796875" bestFit="1" customWidth="1"/>
  </cols>
  <sheetData>
    <row r="1" spans="1:13" x14ac:dyDescent="0.35">
      <c r="A1" t="s">
        <v>0</v>
      </c>
      <c r="B1" t="s">
        <v>5</v>
      </c>
      <c r="C1" t="s">
        <v>4</v>
      </c>
      <c r="D1" t="s">
        <v>6</v>
      </c>
      <c r="E1" t="s">
        <v>7</v>
      </c>
      <c r="F1" t="s">
        <v>2</v>
      </c>
      <c r="G1" t="s">
        <v>8</v>
      </c>
      <c r="H1" s="5" t="s">
        <v>3</v>
      </c>
      <c r="I1" s="5" t="s">
        <v>1</v>
      </c>
      <c r="J1" t="s">
        <v>273</v>
      </c>
      <c r="K1" s="5" t="s">
        <v>272</v>
      </c>
      <c r="L1" t="s">
        <v>253</v>
      </c>
      <c r="M1" t="s">
        <v>284</v>
      </c>
    </row>
    <row r="2" spans="1:13" x14ac:dyDescent="0.35">
      <c r="A2" s="1" t="s">
        <v>53</v>
      </c>
      <c r="B2" t="s">
        <v>9</v>
      </c>
      <c r="C2" s="5">
        <v>1</v>
      </c>
      <c r="D2" s="3" t="s">
        <v>142</v>
      </c>
      <c r="E2" s="4" t="s">
        <v>254</v>
      </c>
      <c r="F2" s="2">
        <v>43789</v>
      </c>
      <c r="G2">
        <v>4</v>
      </c>
      <c r="H2" s="6">
        <v>43792</v>
      </c>
      <c r="I2" s="6">
        <v>43807</v>
      </c>
      <c r="J2">
        <f>Table1[[#This Row],[Incubation_start_date]]-Table1[[#This Row],[First_egg_lay_date]]</f>
        <v>3</v>
      </c>
      <c r="K2" s="5">
        <f>Table1[[#This Row],[Hatch_date]]-Table1[[#This Row],[Incubation_start_date]]</f>
        <v>15</v>
      </c>
      <c r="L2" s="5" t="s">
        <v>254</v>
      </c>
    </row>
    <row r="3" spans="1:13" x14ac:dyDescent="0.35">
      <c r="A3" s="1" t="s">
        <v>38</v>
      </c>
      <c r="B3" t="s">
        <v>9</v>
      </c>
      <c r="C3" s="5">
        <v>1</v>
      </c>
      <c r="D3" s="3" t="s">
        <v>127</v>
      </c>
      <c r="E3" s="3" t="s">
        <v>204</v>
      </c>
      <c r="F3" s="2">
        <v>43779</v>
      </c>
      <c r="G3">
        <v>4</v>
      </c>
      <c r="H3" s="6">
        <v>43782</v>
      </c>
      <c r="I3" s="6">
        <v>43798</v>
      </c>
      <c r="J3">
        <f>Table1[[#This Row],[Incubation_start_date]]-Table1[[#This Row],[First_egg_lay_date]]</f>
        <v>3</v>
      </c>
      <c r="K3" s="5">
        <f>Table1[[#This Row],[Hatch_date]]-Table1[[#This Row],[Incubation_start_date]]</f>
        <v>16</v>
      </c>
      <c r="L3" s="5">
        <v>0</v>
      </c>
    </row>
    <row r="4" spans="1:13" x14ac:dyDescent="0.35">
      <c r="A4" s="1" t="s">
        <v>25</v>
      </c>
      <c r="B4" t="s">
        <v>9</v>
      </c>
      <c r="C4" s="5">
        <v>1</v>
      </c>
      <c r="D4" s="3" t="s">
        <v>114</v>
      </c>
      <c r="E4" s="3" t="s">
        <v>191</v>
      </c>
      <c r="F4" s="2">
        <v>43774</v>
      </c>
      <c r="G4">
        <v>4</v>
      </c>
      <c r="H4" s="6">
        <v>43778</v>
      </c>
      <c r="I4" s="6">
        <v>43792</v>
      </c>
      <c r="J4">
        <f>Table1[[#This Row],[Incubation_start_date]]-Table1[[#This Row],[First_egg_lay_date]]</f>
        <v>4</v>
      </c>
      <c r="K4" s="5">
        <f>Table1[[#This Row],[Hatch_date]]-Table1[[#This Row],[Incubation_start_date]]</f>
        <v>14</v>
      </c>
      <c r="L4" s="5">
        <v>1</v>
      </c>
    </row>
    <row r="5" spans="1:13" x14ac:dyDescent="0.35">
      <c r="A5" s="1" t="s">
        <v>26</v>
      </c>
      <c r="B5" t="s">
        <v>9</v>
      </c>
      <c r="C5" s="5">
        <v>1</v>
      </c>
      <c r="D5" s="3" t="s">
        <v>115</v>
      </c>
      <c r="E5" s="3" t="s">
        <v>192</v>
      </c>
      <c r="F5" s="2">
        <v>43774</v>
      </c>
      <c r="G5">
        <v>3</v>
      </c>
      <c r="H5" s="6">
        <v>43777</v>
      </c>
      <c r="I5" s="6" t="s">
        <v>254</v>
      </c>
      <c r="J5">
        <f>Table1[[#This Row],[Incubation_start_date]]-Table1[[#This Row],[First_egg_lay_date]]</f>
        <v>3</v>
      </c>
      <c r="K5" s="5" t="s">
        <v>254</v>
      </c>
      <c r="L5" s="5">
        <v>1</v>
      </c>
    </row>
    <row r="6" spans="1:13" x14ac:dyDescent="0.35">
      <c r="A6" s="1" t="s">
        <v>26</v>
      </c>
      <c r="B6" t="s">
        <v>9</v>
      </c>
      <c r="C6" s="5" t="s">
        <v>252</v>
      </c>
      <c r="D6" s="3" t="s">
        <v>115</v>
      </c>
      <c r="E6" s="3" t="s">
        <v>192</v>
      </c>
      <c r="F6" s="2">
        <v>43809</v>
      </c>
      <c r="G6">
        <v>3</v>
      </c>
      <c r="H6" s="6">
        <v>43811</v>
      </c>
      <c r="I6" s="6">
        <v>43825</v>
      </c>
      <c r="J6">
        <f>Table1[[#This Row],[Incubation_start_date]]-Table1[[#This Row],[First_egg_lay_date]]</f>
        <v>2</v>
      </c>
      <c r="K6" s="5">
        <f>Table1[[#This Row],[Hatch_date]]-Table1[[#This Row],[Incubation_start_date]]</f>
        <v>14</v>
      </c>
      <c r="L6" s="5">
        <v>0</v>
      </c>
    </row>
    <row r="7" spans="1:13" x14ac:dyDescent="0.35">
      <c r="A7" s="1" t="s">
        <v>16</v>
      </c>
      <c r="B7" t="s">
        <v>9</v>
      </c>
      <c r="C7" s="5">
        <v>1</v>
      </c>
      <c r="D7" s="3" t="s">
        <v>105</v>
      </c>
      <c r="E7" s="3" t="s">
        <v>182</v>
      </c>
      <c r="F7" s="2">
        <v>43770</v>
      </c>
      <c r="G7">
        <v>4</v>
      </c>
      <c r="H7" s="6">
        <v>43773</v>
      </c>
      <c r="I7" s="6">
        <v>43788</v>
      </c>
      <c r="J7">
        <f>Table1[[#This Row],[Incubation_start_date]]-Table1[[#This Row],[First_egg_lay_date]]</f>
        <v>3</v>
      </c>
      <c r="K7" s="5">
        <f>Table1[[#This Row],[Hatch_date]]-Table1[[#This Row],[Incubation_start_date]]</f>
        <v>15</v>
      </c>
      <c r="L7" s="5">
        <v>0</v>
      </c>
    </row>
    <row r="8" spans="1:13" x14ac:dyDescent="0.35">
      <c r="A8" s="1" t="s">
        <v>16</v>
      </c>
      <c r="B8" t="s">
        <v>9</v>
      </c>
      <c r="C8" s="5">
        <v>2</v>
      </c>
      <c r="D8" s="3" t="s">
        <v>105</v>
      </c>
      <c r="E8" s="3" t="s">
        <v>182</v>
      </c>
      <c r="F8" s="2">
        <v>43827</v>
      </c>
      <c r="G8">
        <v>4</v>
      </c>
      <c r="H8" s="6">
        <v>43830</v>
      </c>
      <c r="I8" s="6">
        <v>43844</v>
      </c>
      <c r="J8">
        <f>Table1[[#This Row],[Incubation_start_date]]-Table1[[#This Row],[First_egg_lay_date]]</f>
        <v>3</v>
      </c>
      <c r="K8" s="5">
        <f>Table1[[#This Row],[Hatch_date]]-Table1[[#This Row],[Incubation_start_date]]</f>
        <v>14</v>
      </c>
      <c r="L8" s="5">
        <v>0</v>
      </c>
    </row>
    <row r="9" spans="1:13" x14ac:dyDescent="0.35">
      <c r="A9" s="1" t="s">
        <v>33</v>
      </c>
      <c r="B9" t="s">
        <v>9</v>
      </c>
      <c r="C9" s="5">
        <v>1</v>
      </c>
      <c r="D9" s="3" t="s">
        <v>122</v>
      </c>
      <c r="E9" s="3" t="s">
        <v>199</v>
      </c>
      <c r="F9" s="2">
        <v>43778</v>
      </c>
      <c r="G9">
        <v>4</v>
      </c>
      <c r="H9" s="6">
        <v>43782</v>
      </c>
      <c r="I9" s="6">
        <v>43796</v>
      </c>
      <c r="J9">
        <f>Table1[[#This Row],[Incubation_start_date]]-Table1[[#This Row],[First_egg_lay_date]]</f>
        <v>4</v>
      </c>
      <c r="K9" s="5">
        <f>Table1[[#This Row],[Hatch_date]]-Table1[[#This Row],[Incubation_start_date]]</f>
        <v>14</v>
      </c>
      <c r="L9" s="5">
        <v>1</v>
      </c>
    </row>
    <row r="10" spans="1:13" x14ac:dyDescent="0.35">
      <c r="A10" s="1" t="s">
        <v>55</v>
      </c>
      <c r="B10" t="s">
        <v>9</v>
      </c>
      <c r="C10" s="5">
        <v>1</v>
      </c>
      <c r="D10" s="3" t="s">
        <v>144</v>
      </c>
      <c r="E10" s="3" t="s">
        <v>220</v>
      </c>
      <c r="F10" s="2">
        <v>43790</v>
      </c>
      <c r="G10">
        <v>4</v>
      </c>
      <c r="H10" s="6">
        <v>43793</v>
      </c>
      <c r="I10" s="6">
        <v>43808</v>
      </c>
      <c r="J10">
        <f>Table1[[#This Row],[Incubation_start_date]]-Table1[[#This Row],[First_egg_lay_date]]</f>
        <v>3</v>
      </c>
      <c r="K10" s="5">
        <f>Table1[[#This Row],[Hatch_date]]-Table1[[#This Row],[Incubation_start_date]]</f>
        <v>15</v>
      </c>
      <c r="L10" s="5">
        <v>0</v>
      </c>
    </row>
    <row r="11" spans="1:13" x14ac:dyDescent="0.35">
      <c r="A11" s="1" t="s">
        <v>43</v>
      </c>
      <c r="B11" t="s">
        <v>9</v>
      </c>
      <c r="C11" s="5">
        <v>1</v>
      </c>
      <c r="D11" s="3" t="s">
        <v>132</v>
      </c>
      <c r="E11" s="3" t="s">
        <v>209</v>
      </c>
      <c r="F11" s="2">
        <v>43780</v>
      </c>
      <c r="G11">
        <v>4</v>
      </c>
      <c r="H11" s="6">
        <v>43783</v>
      </c>
      <c r="I11" s="6">
        <v>43797</v>
      </c>
      <c r="J11">
        <f>Table1[[#This Row],[Incubation_start_date]]-Table1[[#This Row],[First_egg_lay_date]]</f>
        <v>3</v>
      </c>
      <c r="K11" s="5">
        <f>Table1[[#This Row],[Hatch_date]]-Table1[[#This Row],[Incubation_start_date]]</f>
        <v>14</v>
      </c>
      <c r="L11" s="5" t="s">
        <v>254</v>
      </c>
    </row>
    <row r="12" spans="1:13" x14ac:dyDescent="0.35">
      <c r="A12" s="1" t="s">
        <v>68</v>
      </c>
      <c r="B12" t="s">
        <v>9</v>
      </c>
      <c r="C12" s="5">
        <v>1</v>
      </c>
      <c r="D12" s="3" t="s">
        <v>157</v>
      </c>
      <c r="E12" s="3" t="s">
        <v>233</v>
      </c>
      <c r="F12" s="2">
        <v>43802</v>
      </c>
      <c r="G12">
        <v>3</v>
      </c>
      <c r="H12" s="6">
        <v>43804</v>
      </c>
      <c r="I12" s="6">
        <v>43819</v>
      </c>
      <c r="J12">
        <f>Table1[[#This Row],[Incubation_start_date]]-Table1[[#This Row],[First_egg_lay_date]]</f>
        <v>2</v>
      </c>
      <c r="K12" s="5">
        <f>Table1[[#This Row],[Hatch_date]]-Table1[[#This Row],[Incubation_start_date]]</f>
        <v>15</v>
      </c>
      <c r="L12" s="5">
        <v>0</v>
      </c>
    </row>
    <row r="13" spans="1:13" x14ac:dyDescent="0.35">
      <c r="A13" s="1" t="s">
        <v>42</v>
      </c>
      <c r="B13" t="s">
        <v>9</v>
      </c>
      <c r="C13" s="5">
        <v>1</v>
      </c>
      <c r="D13" s="3" t="s">
        <v>131</v>
      </c>
      <c r="E13" s="3" t="s">
        <v>208</v>
      </c>
      <c r="F13" s="2">
        <v>43780</v>
      </c>
      <c r="G13">
        <v>4</v>
      </c>
      <c r="H13" s="6">
        <v>43783</v>
      </c>
      <c r="I13" s="6">
        <v>43797</v>
      </c>
      <c r="J13">
        <f>Table1[[#This Row],[Incubation_start_date]]-Table1[[#This Row],[First_egg_lay_date]]</f>
        <v>3</v>
      </c>
      <c r="K13" s="5">
        <f>Table1[[#This Row],[Hatch_date]]-Table1[[#This Row],[Incubation_start_date]]</f>
        <v>14</v>
      </c>
      <c r="L13" s="5">
        <v>0</v>
      </c>
    </row>
    <row r="14" spans="1:13" x14ac:dyDescent="0.35">
      <c r="A14" s="1" t="s">
        <v>10</v>
      </c>
      <c r="B14" t="s">
        <v>9</v>
      </c>
      <c r="C14" s="5">
        <v>1</v>
      </c>
      <c r="D14" s="3" t="s">
        <v>99</v>
      </c>
      <c r="E14" t="s">
        <v>254</v>
      </c>
      <c r="F14" s="2">
        <v>43765</v>
      </c>
      <c r="G14">
        <v>4</v>
      </c>
      <c r="H14" s="6">
        <v>43768</v>
      </c>
      <c r="I14" s="6" t="s">
        <v>254</v>
      </c>
      <c r="J14">
        <f>Table1[[#This Row],[Incubation_start_date]]-Table1[[#This Row],[First_egg_lay_date]]</f>
        <v>3</v>
      </c>
      <c r="K14" s="5" t="s">
        <v>254</v>
      </c>
      <c r="L14" s="5">
        <v>0</v>
      </c>
    </row>
    <row r="15" spans="1:13" x14ac:dyDescent="0.35">
      <c r="A15" s="1" t="s">
        <v>20</v>
      </c>
      <c r="B15" t="s">
        <v>9</v>
      </c>
      <c r="C15" s="5">
        <v>1</v>
      </c>
      <c r="D15" s="3" t="s">
        <v>109</v>
      </c>
      <c r="E15" s="3" t="s">
        <v>186</v>
      </c>
      <c r="F15" s="2">
        <v>43772</v>
      </c>
      <c r="G15">
        <v>4</v>
      </c>
      <c r="H15" s="6">
        <v>43775</v>
      </c>
      <c r="I15" s="6">
        <v>43790</v>
      </c>
      <c r="J15">
        <f>Table1[[#This Row],[Incubation_start_date]]-Table1[[#This Row],[First_egg_lay_date]]</f>
        <v>3</v>
      </c>
      <c r="K15" s="5">
        <f>Table1[[#This Row],[Hatch_date]]-Table1[[#This Row],[Incubation_start_date]]</f>
        <v>15</v>
      </c>
      <c r="L15" s="5">
        <v>0</v>
      </c>
    </row>
    <row r="16" spans="1:13" x14ac:dyDescent="0.35">
      <c r="A16" s="1" t="s">
        <v>58</v>
      </c>
      <c r="B16" t="s">
        <v>9</v>
      </c>
      <c r="C16" s="5">
        <v>1</v>
      </c>
      <c r="D16" s="3" t="s">
        <v>147</v>
      </c>
      <c r="E16" s="3" t="s">
        <v>223</v>
      </c>
      <c r="F16" s="2">
        <v>43792</v>
      </c>
      <c r="G16">
        <v>3</v>
      </c>
      <c r="H16" s="6">
        <v>43794</v>
      </c>
      <c r="I16" s="6">
        <v>43809</v>
      </c>
      <c r="J16">
        <f>Table1[[#This Row],[Incubation_start_date]]-Table1[[#This Row],[First_egg_lay_date]]</f>
        <v>2</v>
      </c>
      <c r="K16" s="5">
        <f>Table1[[#This Row],[Hatch_date]]-Table1[[#This Row],[Incubation_start_date]]</f>
        <v>15</v>
      </c>
      <c r="L16" s="5">
        <v>0</v>
      </c>
    </row>
    <row r="17" spans="1:12" x14ac:dyDescent="0.35">
      <c r="A17" s="1" t="s">
        <v>15</v>
      </c>
      <c r="B17" t="s">
        <v>9</v>
      </c>
      <c r="C17" s="5">
        <v>1</v>
      </c>
      <c r="D17" s="3" t="s">
        <v>104</v>
      </c>
      <c r="E17" s="3" t="s">
        <v>181</v>
      </c>
      <c r="F17" s="2">
        <v>43770</v>
      </c>
      <c r="G17">
        <v>4</v>
      </c>
      <c r="H17" s="6">
        <v>43773</v>
      </c>
      <c r="I17" s="6">
        <v>43788</v>
      </c>
      <c r="J17">
        <f>Table1[[#This Row],[Incubation_start_date]]-Table1[[#This Row],[First_egg_lay_date]]</f>
        <v>3</v>
      </c>
      <c r="K17" s="5">
        <f>Table1[[#This Row],[Hatch_date]]-Table1[[#This Row],[Incubation_start_date]]</f>
        <v>15</v>
      </c>
      <c r="L17" s="5">
        <v>0</v>
      </c>
    </row>
    <row r="18" spans="1:12" x14ac:dyDescent="0.35">
      <c r="A18" s="1" t="s">
        <v>30</v>
      </c>
      <c r="B18" t="s">
        <v>9</v>
      </c>
      <c r="C18" s="5">
        <v>1</v>
      </c>
      <c r="D18" s="3" t="s">
        <v>119</v>
      </c>
      <c r="E18" s="3" t="s">
        <v>196</v>
      </c>
      <c r="F18" s="2">
        <v>43776</v>
      </c>
      <c r="G18">
        <v>3</v>
      </c>
      <c r="H18" s="6">
        <v>43778</v>
      </c>
      <c r="I18" s="6">
        <v>43792</v>
      </c>
      <c r="J18">
        <f>Table1[[#This Row],[Incubation_start_date]]-Table1[[#This Row],[First_egg_lay_date]]</f>
        <v>2</v>
      </c>
      <c r="K18" s="5">
        <f>Table1[[#This Row],[Hatch_date]]-Table1[[#This Row],[Incubation_start_date]]</f>
        <v>14</v>
      </c>
      <c r="L18" s="5">
        <v>0</v>
      </c>
    </row>
    <row r="19" spans="1:12" x14ac:dyDescent="0.35">
      <c r="A19" s="1" t="s">
        <v>32</v>
      </c>
      <c r="B19" t="s">
        <v>9</v>
      </c>
      <c r="C19" s="5">
        <v>1</v>
      </c>
      <c r="D19" s="3" t="s">
        <v>121</v>
      </c>
      <c r="E19" s="3" t="s">
        <v>198</v>
      </c>
      <c r="F19" s="2">
        <v>43777</v>
      </c>
      <c r="G19">
        <v>4</v>
      </c>
      <c r="H19" s="6">
        <v>43780</v>
      </c>
      <c r="I19" s="6">
        <v>43795</v>
      </c>
      <c r="J19">
        <f>Table1[[#This Row],[Incubation_start_date]]-Table1[[#This Row],[First_egg_lay_date]]</f>
        <v>3</v>
      </c>
      <c r="K19" s="5">
        <f>Table1[[#This Row],[Hatch_date]]-Table1[[#This Row],[Incubation_start_date]]</f>
        <v>15</v>
      </c>
      <c r="L19" s="5">
        <v>0</v>
      </c>
    </row>
    <row r="20" spans="1:12" x14ac:dyDescent="0.35">
      <c r="A20" s="1" t="s">
        <v>87</v>
      </c>
      <c r="B20" t="s">
        <v>9</v>
      </c>
      <c r="C20" s="5" t="s">
        <v>252</v>
      </c>
      <c r="D20" s="3" t="s">
        <v>120</v>
      </c>
      <c r="E20" s="3" t="s">
        <v>197</v>
      </c>
      <c r="F20" s="2">
        <v>43810</v>
      </c>
      <c r="G20">
        <v>4</v>
      </c>
      <c r="H20" s="6">
        <v>43813</v>
      </c>
      <c r="I20" s="6">
        <v>43827</v>
      </c>
      <c r="J20">
        <f>Table1[[#This Row],[Incubation_start_date]]-Table1[[#This Row],[First_egg_lay_date]]</f>
        <v>3</v>
      </c>
      <c r="K20" s="5">
        <f>Table1[[#This Row],[Hatch_date]]-Table1[[#This Row],[Incubation_start_date]]</f>
        <v>14</v>
      </c>
      <c r="L20" s="5">
        <v>0</v>
      </c>
    </row>
    <row r="21" spans="1:12" x14ac:dyDescent="0.35">
      <c r="A21" s="1" t="s">
        <v>31</v>
      </c>
      <c r="B21" t="s">
        <v>9</v>
      </c>
      <c r="C21" s="5">
        <v>1</v>
      </c>
      <c r="D21" s="3" t="s">
        <v>120</v>
      </c>
      <c r="E21" s="3" t="s">
        <v>197</v>
      </c>
      <c r="F21" s="2">
        <v>43776</v>
      </c>
      <c r="G21">
        <v>3</v>
      </c>
      <c r="H21" s="6">
        <v>43779</v>
      </c>
      <c r="I21" s="6">
        <v>43795</v>
      </c>
      <c r="J21">
        <f>Table1[[#This Row],[Incubation_start_date]]-Table1[[#This Row],[First_egg_lay_date]]</f>
        <v>3</v>
      </c>
      <c r="K21" s="5">
        <f>Table1[[#This Row],[Hatch_date]]-Table1[[#This Row],[Incubation_start_date]]</f>
        <v>16</v>
      </c>
      <c r="L21" s="5">
        <v>0</v>
      </c>
    </row>
    <row r="22" spans="1:12" x14ac:dyDescent="0.35">
      <c r="A22" s="1" t="s">
        <v>71</v>
      </c>
      <c r="B22" t="s">
        <v>9</v>
      </c>
      <c r="C22" s="5">
        <v>1</v>
      </c>
      <c r="D22" s="3" t="s">
        <v>160</v>
      </c>
      <c r="E22" s="3" t="s">
        <v>236</v>
      </c>
      <c r="F22" s="2">
        <v>43802</v>
      </c>
      <c r="G22">
        <v>4</v>
      </c>
      <c r="H22" s="6">
        <v>43805</v>
      </c>
      <c r="I22" s="6">
        <v>43819</v>
      </c>
      <c r="J22">
        <f>Table1[[#This Row],[Incubation_start_date]]-Table1[[#This Row],[First_egg_lay_date]]</f>
        <v>3</v>
      </c>
      <c r="K22" s="5">
        <f>Table1[[#This Row],[Hatch_date]]-Table1[[#This Row],[Incubation_start_date]]</f>
        <v>14</v>
      </c>
      <c r="L22" s="5">
        <v>0</v>
      </c>
    </row>
    <row r="23" spans="1:12" x14ac:dyDescent="0.35">
      <c r="A23" s="1" t="s">
        <v>92</v>
      </c>
      <c r="B23" t="s">
        <v>9</v>
      </c>
      <c r="C23" s="5">
        <v>1</v>
      </c>
      <c r="D23" s="3" t="s">
        <v>176</v>
      </c>
      <c r="E23" s="3" t="s">
        <v>222</v>
      </c>
      <c r="F23" s="2">
        <v>43812</v>
      </c>
      <c r="G23">
        <v>3</v>
      </c>
      <c r="H23" s="6">
        <v>43814</v>
      </c>
      <c r="I23" s="6">
        <v>43828</v>
      </c>
      <c r="J23">
        <f>Table1[[#This Row],[Incubation_start_date]]-Table1[[#This Row],[First_egg_lay_date]]</f>
        <v>2</v>
      </c>
      <c r="K23" s="5">
        <f>Table1[[#This Row],[Hatch_date]]-Table1[[#This Row],[Incubation_start_date]]</f>
        <v>14</v>
      </c>
      <c r="L23" s="5">
        <v>0</v>
      </c>
    </row>
    <row r="24" spans="1:12" x14ac:dyDescent="0.35">
      <c r="A24" s="1" t="s">
        <v>57</v>
      </c>
      <c r="B24" t="s">
        <v>9</v>
      </c>
      <c r="C24" s="5">
        <v>1</v>
      </c>
      <c r="D24" s="3" t="s">
        <v>146</v>
      </c>
      <c r="E24" s="3" t="s">
        <v>222</v>
      </c>
      <c r="F24" s="2">
        <v>43791</v>
      </c>
      <c r="G24">
        <v>4</v>
      </c>
      <c r="H24" s="6">
        <v>43795</v>
      </c>
      <c r="I24" s="6" t="s">
        <v>254</v>
      </c>
      <c r="J24">
        <f>Table1[[#This Row],[Incubation_start_date]]-Table1[[#This Row],[First_egg_lay_date]]</f>
        <v>4</v>
      </c>
      <c r="K24" s="5" t="s">
        <v>254</v>
      </c>
      <c r="L24" s="5">
        <v>1</v>
      </c>
    </row>
    <row r="25" spans="1:12" x14ac:dyDescent="0.35">
      <c r="A25" s="1" t="s">
        <v>47</v>
      </c>
      <c r="B25" t="s">
        <v>9</v>
      </c>
      <c r="C25" s="5">
        <v>1</v>
      </c>
      <c r="D25" s="3" t="s">
        <v>136</v>
      </c>
      <c r="E25" s="3" t="s">
        <v>213</v>
      </c>
      <c r="F25" s="2">
        <v>43781</v>
      </c>
      <c r="G25">
        <v>3</v>
      </c>
      <c r="H25" s="6">
        <v>43783</v>
      </c>
      <c r="I25" s="6">
        <v>43797</v>
      </c>
      <c r="J25">
        <f>Table1[[#This Row],[Incubation_start_date]]-Table1[[#This Row],[First_egg_lay_date]]</f>
        <v>2</v>
      </c>
      <c r="K25" s="5">
        <f>Table1[[#This Row],[Hatch_date]]-Table1[[#This Row],[Incubation_start_date]]</f>
        <v>14</v>
      </c>
      <c r="L25" s="5">
        <v>0</v>
      </c>
    </row>
    <row r="26" spans="1:12" x14ac:dyDescent="0.35">
      <c r="A26" s="1" t="s">
        <v>96</v>
      </c>
      <c r="B26" t="s">
        <v>9</v>
      </c>
      <c r="C26" s="5">
        <v>2</v>
      </c>
      <c r="D26" s="3" t="s">
        <v>108</v>
      </c>
      <c r="E26" s="3" t="s">
        <v>185</v>
      </c>
      <c r="F26" s="2">
        <v>43823</v>
      </c>
      <c r="G26">
        <v>4</v>
      </c>
      <c r="H26" s="6">
        <v>43826</v>
      </c>
      <c r="I26" s="6">
        <v>43840</v>
      </c>
      <c r="J26">
        <f>Table1[[#This Row],[Incubation_start_date]]-Table1[[#This Row],[First_egg_lay_date]]</f>
        <v>3</v>
      </c>
      <c r="K26" s="5">
        <f>Table1[[#This Row],[Hatch_date]]-Table1[[#This Row],[Incubation_start_date]]</f>
        <v>14</v>
      </c>
      <c r="L26" s="5">
        <v>0</v>
      </c>
    </row>
    <row r="27" spans="1:12" x14ac:dyDescent="0.35">
      <c r="A27" s="1" t="s">
        <v>40</v>
      </c>
      <c r="B27" t="s">
        <v>9</v>
      </c>
      <c r="C27" s="5">
        <v>1</v>
      </c>
      <c r="D27" s="3" t="s">
        <v>129</v>
      </c>
      <c r="E27" s="3" t="s">
        <v>206</v>
      </c>
      <c r="F27" s="2">
        <v>43779</v>
      </c>
      <c r="G27">
        <v>3</v>
      </c>
      <c r="H27" s="6">
        <v>43781</v>
      </c>
      <c r="I27" s="6">
        <v>43796</v>
      </c>
      <c r="J27">
        <f>Table1[[#This Row],[Incubation_start_date]]-Table1[[#This Row],[First_egg_lay_date]]</f>
        <v>2</v>
      </c>
      <c r="K27" s="5">
        <f>Table1[[#This Row],[Hatch_date]]-Table1[[#This Row],[Incubation_start_date]]</f>
        <v>15</v>
      </c>
      <c r="L27" s="5">
        <v>0</v>
      </c>
    </row>
    <row r="28" spans="1:12" x14ac:dyDescent="0.35">
      <c r="A28" s="1" t="s">
        <v>46</v>
      </c>
      <c r="B28" t="s">
        <v>9</v>
      </c>
      <c r="C28" s="5">
        <v>1</v>
      </c>
      <c r="D28" s="3" t="s">
        <v>135</v>
      </c>
      <c r="E28" s="3" t="s">
        <v>212</v>
      </c>
      <c r="F28" s="2">
        <v>43780</v>
      </c>
      <c r="G28">
        <v>3</v>
      </c>
      <c r="H28" s="6">
        <v>43782</v>
      </c>
      <c r="I28" s="6">
        <v>43797</v>
      </c>
      <c r="J28">
        <f>Table1[[#This Row],[Incubation_start_date]]-Table1[[#This Row],[First_egg_lay_date]]</f>
        <v>2</v>
      </c>
      <c r="K28" s="5">
        <f>Table1[[#This Row],[Hatch_date]]-Table1[[#This Row],[Incubation_start_date]]</f>
        <v>15</v>
      </c>
      <c r="L28" s="5">
        <v>0</v>
      </c>
    </row>
    <row r="29" spans="1:12" x14ac:dyDescent="0.35">
      <c r="A29" s="1" t="s">
        <v>73</v>
      </c>
      <c r="B29" t="s">
        <v>9</v>
      </c>
      <c r="C29" s="5">
        <v>1</v>
      </c>
      <c r="D29" s="3" t="s">
        <v>162</v>
      </c>
      <c r="E29" s="3" t="s">
        <v>238</v>
      </c>
      <c r="F29" s="2">
        <v>43804</v>
      </c>
      <c r="G29">
        <v>4</v>
      </c>
      <c r="H29" s="6">
        <v>43807</v>
      </c>
      <c r="I29" s="6">
        <v>43822</v>
      </c>
      <c r="J29">
        <f>Table1[[#This Row],[Incubation_start_date]]-Table1[[#This Row],[First_egg_lay_date]]</f>
        <v>3</v>
      </c>
      <c r="K29" s="5">
        <f>Table1[[#This Row],[Hatch_date]]-Table1[[#This Row],[Incubation_start_date]]</f>
        <v>15</v>
      </c>
      <c r="L29" s="5">
        <v>0</v>
      </c>
    </row>
    <row r="30" spans="1:12" x14ac:dyDescent="0.35">
      <c r="A30" s="1" t="s">
        <v>19</v>
      </c>
      <c r="B30" t="s">
        <v>9</v>
      </c>
      <c r="C30" s="5">
        <v>1</v>
      </c>
      <c r="D30" s="3" t="s">
        <v>108</v>
      </c>
      <c r="E30" s="3" t="s">
        <v>185</v>
      </c>
      <c r="F30" s="2">
        <v>43772</v>
      </c>
      <c r="G30">
        <v>4</v>
      </c>
      <c r="H30" s="6">
        <v>43775</v>
      </c>
      <c r="I30" s="6">
        <v>43789</v>
      </c>
      <c r="J30">
        <f>Table1[[#This Row],[Incubation_start_date]]-Table1[[#This Row],[First_egg_lay_date]]</f>
        <v>3</v>
      </c>
      <c r="K30" s="5">
        <f>Table1[[#This Row],[Hatch_date]]-Table1[[#This Row],[Incubation_start_date]]</f>
        <v>14</v>
      </c>
      <c r="L30" s="5">
        <v>0</v>
      </c>
    </row>
    <row r="31" spans="1:12" x14ac:dyDescent="0.35">
      <c r="A31" s="1" t="s">
        <v>41</v>
      </c>
      <c r="B31" t="s">
        <v>9</v>
      </c>
      <c r="C31" s="5">
        <v>1</v>
      </c>
      <c r="D31" s="3" t="s">
        <v>130</v>
      </c>
      <c r="E31" s="3" t="s">
        <v>207</v>
      </c>
      <c r="F31" s="2">
        <v>43779</v>
      </c>
      <c r="G31">
        <v>3</v>
      </c>
      <c r="H31" s="6">
        <v>43781</v>
      </c>
      <c r="I31" s="6">
        <v>43796</v>
      </c>
      <c r="J31">
        <f>Table1[[#This Row],[Incubation_start_date]]-Table1[[#This Row],[First_egg_lay_date]]</f>
        <v>2</v>
      </c>
      <c r="K31" s="5">
        <f>Table1[[#This Row],[Hatch_date]]-Table1[[#This Row],[Incubation_start_date]]</f>
        <v>15</v>
      </c>
      <c r="L31" s="5">
        <v>0</v>
      </c>
    </row>
    <row r="32" spans="1:12" x14ac:dyDescent="0.35">
      <c r="A32" s="1" t="s">
        <v>63</v>
      </c>
      <c r="B32" t="s">
        <v>9</v>
      </c>
      <c r="C32" s="5">
        <v>1</v>
      </c>
      <c r="D32" s="3" t="s">
        <v>152</v>
      </c>
      <c r="E32" s="3" t="s">
        <v>228</v>
      </c>
      <c r="F32" s="2">
        <v>43795</v>
      </c>
      <c r="G32">
        <v>4</v>
      </c>
      <c r="H32" s="6">
        <v>43798</v>
      </c>
      <c r="I32" s="6">
        <v>43813</v>
      </c>
      <c r="J32">
        <f>Table1[[#This Row],[Incubation_start_date]]-Table1[[#This Row],[First_egg_lay_date]]</f>
        <v>3</v>
      </c>
      <c r="K32" s="5">
        <f>Table1[[#This Row],[Hatch_date]]-Table1[[#This Row],[Incubation_start_date]]</f>
        <v>15</v>
      </c>
      <c r="L32" s="5">
        <v>0</v>
      </c>
    </row>
    <row r="33" spans="1:12" x14ac:dyDescent="0.35">
      <c r="A33" s="1" t="s">
        <v>37</v>
      </c>
      <c r="B33" t="s">
        <v>9</v>
      </c>
      <c r="C33" s="5">
        <v>1</v>
      </c>
      <c r="D33" s="3" t="s">
        <v>126</v>
      </c>
      <c r="E33" s="3" t="s">
        <v>203</v>
      </c>
      <c r="F33" s="2">
        <v>43779</v>
      </c>
      <c r="G33">
        <v>5</v>
      </c>
      <c r="H33" s="6">
        <v>43783</v>
      </c>
      <c r="I33" s="6">
        <v>43797</v>
      </c>
      <c r="J33">
        <f>Table1[[#This Row],[Incubation_start_date]]-Table1[[#This Row],[First_egg_lay_date]]</f>
        <v>4</v>
      </c>
      <c r="K33" s="5">
        <f>Table1[[#This Row],[Hatch_date]]-Table1[[#This Row],[Incubation_start_date]]</f>
        <v>14</v>
      </c>
      <c r="L33" s="5">
        <v>0</v>
      </c>
    </row>
    <row r="34" spans="1:12" x14ac:dyDescent="0.35">
      <c r="A34" s="1" t="s">
        <v>54</v>
      </c>
      <c r="B34" t="s">
        <v>9</v>
      </c>
      <c r="C34" s="5">
        <v>1</v>
      </c>
      <c r="D34" s="3" t="s">
        <v>143</v>
      </c>
      <c r="E34" s="3" t="s">
        <v>219</v>
      </c>
      <c r="F34" s="2">
        <v>43789</v>
      </c>
      <c r="G34">
        <v>4</v>
      </c>
      <c r="H34" s="6">
        <v>43792</v>
      </c>
      <c r="I34" s="6">
        <v>43806</v>
      </c>
      <c r="J34">
        <f>Table1[[#This Row],[Incubation_start_date]]-Table1[[#This Row],[First_egg_lay_date]]</f>
        <v>3</v>
      </c>
      <c r="K34" s="5">
        <f>Table1[[#This Row],[Hatch_date]]-Table1[[#This Row],[Incubation_start_date]]</f>
        <v>14</v>
      </c>
      <c r="L34" s="5">
        <v>0</v>
      </c>
    </row>
    <row r="35" spans="1:12" x14ac:dyDescent="0.35">
      <c r="A35" s="1" t="s">
        <v>29</v>
      </c>
      <c r="B35" t="s">
        <v>9</v>
      </c>
      <c r="C35" s="5">
        <v>1</v>
      </c>
      <c r="D35" s="3" t="s">
        <v>118</v>
      </c>
      <c r="E35" s="3" t="s">
        <v>195</v>
      </c>
      <c r="F35" s="2">
        <v>43775</v>
      </c>
      <c r="G35">
        <v>1</v>
      </c>
      <c r="H35" s="6">
        <v>43775</v>
      </c>
      <c r="I35" s="6" t="s">
        <v>254</v>
      </c>
      <c r="J35">
        <f>Table1[[#This Row],[Incubation_start_date]]-Table1[[#This Row],[First_egg_lay_date]]</f>
        <v>0</v>
      </c>
      <c r="K35" s="5" t="s">
        <v>254</v>
      </c>
      <c r="L35" s="5">
        <v>0</v>
      </c>
    </row>
    <row r="36" spans="1:12" x14ac:dyDescent="0.35">
      <c r="A36" s="1" t="s">
        <v>29</v>
      </c>
      <c r="B36" t="s">
        <v>9</v>
      </c>
      <c r="C36" s="5" t="s">
        <v>252</v>
      </c>
      <c r="D36" s="3" t="s">
        <v>118</v>
      </c>
      <c r="E36" s="3" t="s">
        <v>195</v>
      </c>
      <c r="F36" s="2">
        <v>43793</v>
      </c>
      <c r="G36">
        <v>4</v>
      </c>
      <c r="H36" s="6">
        <v>43796</v>
      </c>
      <c r="I36" s="6">
        <v>43810</v>
      </c>
      <c r="J36">
        <f>Table1[[#This Row],[Incubation_start_date]]-Table1[[#This Row],[First_egg_lay_date]]</f>
        <v>3</v>
      </c>
      <c r="K36" s="5">
        <f>Table1[[#This Row],[Hatch_date]]-Table1[[#This Row],[Incubation_start_date]]</f>
        <v>14</v>
      </c>
      <c r="L36" s="5">
        <v>0</v>
      </c>
    </row>
    <row r="37" spans="1:12" x14ac:dyDescent="0.35">
      <c r="A37" s="1" t="s">
        <v>28</v>
      </c>
      <c r="B37" t="s">
        <v>9</v>
      </c>
      <c r="C37" s="5">
        <v>1</v>
      </c>
      <c r="D37" s="3" t="s">
        <v>117</v>
      </c>
      <c r="E37" s="3" t="s">
        <v>194</v>
      </c>
      <c r="F37" s="2">
        <v>43775</v>
      </c>
      <c r="G37">
        <v>1</v>
      </c>
      <c r="H37" s="6">
        <v>43775</v>
      </c>
      <c r="I37" s="6" t="s">
        <v>254</v>
      </c>
      <c r="J37">
        <f>Table1[[#This Row],[Incubation_start_date]]-Table1[[#This Row],[First_egg_lay_date]]</f>
        <v>0</v>
      </c>
      <c r="K37" s="5" t="s">
        <v>254</v>
      </c>
      <c r="L37" s="5">
        <v>0</v>
      </c>
    </row>
    <row r="38" spans="1:12" x14ac:dyDescent="0.35">
      <c r="A38" s="1" t="s">
        <v>86</v>
      </c>
      <c r="B38" t="s">
        <v>9</v>
      </c>
      <c r="C38" s="5" t="s">
        <v>252</v>
      </c>
      <c r="D38" s="3" t="s">
        <v>117</v>
      </c>
      <c r="E38" s="3" t="s">
        <v>248</v>
      </c>
      <c r="F38" s="2">
        <v>43809</v>
      </c>
      <c r="G38">
        <v>5</v>
      </c>
      <c r="H38" s="6">
        <v>43813</v>
      </c>
      <c r="I38" s="6">
        <v>43827</v>
      </c>
      <c r="J38">
        <f>Table1[[#This Row],[Incubation_start_date]]-Table1[[#This Row],[First_egg_lay_date]]</f>
        <v>4</v>
      </c>
      <c r="K38" s="5">
        <f>Table1[[#This Row],[Hatch_date]]-Table1[[#This Row],[Incubation_start_date]]</f>
        <v>14</v>
      </c>
      <c r="L38" s="5">
        <v>0</v>
      </c>
    </row>
    <row r="39" spans="1:12" x14ac:dyDescent="0.35">
      <c r="A39" s="1" t="s">
        <v>66</v>
      </c>
      <c r="B39" t="s">
        <v>9</v>
      </c>
      <c r="C39" s="5">
        <v>1</v>
      </c>
      <c r="D39" s="3" t="s">
        <v>155</v>
      </c>
      <c r="E39" s="3" t="s">
        <v>231</v>
      </c>
      <c r="F39" s="2">
        <v>43801</v>
      </c>
      <c r="G39">
        <v>5</v>
      </c>
      <c r="H39" s="6">
        <v>43805</v>
      </c>
      <c r="I39" s="6">
        <v>43819</v>
      </c>
      <c r="J39">
        <f>Table1[[#This Row],[Incubation_start_date]]-Table1[[#This Row],[First_egg_lay_date]]</f>
        <v>4</v>
      </c>
      <c r="K39" s="5">
        <f>Table1[[#This Row],[Hatch_date]]-Table1[[#This Row],[Incubation_start_date]]</f>
        <v>14</v>
      </c>
      <c r="L39" s="5">
        <v>0</v>
      </c>
    </row>
    <row r="40" spans="1:12" x14ac:dyDescent="0.35">
      <c r="A40" s="1" t="s">
        <v>18</v>
      </c>
      <c r="B40" t="s">
        <v>9</v>
      </c>
      <c r="C40" s="5">
        <v>1</v>
      </c>
      <c r="D40" s="3" t="s">
        <v>107</v>
      </c>
      <c r="E40" s="3" t="s">
        <v>184</v>
      </c>
      <c r="F40" s="2">
        <v>43771</v>
      </c>
      <c r="G40">
        <v>4</v>
      </c>
      <c r="H40" s="6">
        <v>43774</v>
      </c>
      <c r="I40" s="6">
        <v>43789</v>
      </c>
      <c r="J40">
        <f>Table1[[#This Row],[Incubation_start_date]]-Table1[[#This Row],[First_egg_lay_date]]</f>
        <v>3</v>
      </c>
      <c r="K40" s="5">
        <f>Table1[[#This Row],[Hatch_date]]-Table1[[#This Row],[Incubation_start_date]]</f>
        <v>15</v>
      </c>
      <c r="L40" s="5">
        <v>0</v>
      </c>
    </row>
    <row r="41" spans="1:12" x14ac:dyDescent="0.35">
      <c r="A41" s="1" t="s">
        <v>77</v>
      </c>
      <c r="B41" t="s">
        <v>9</v>
      </c>
      <c r="C41" s="5" t="s">
        <v>252</v>
      </c>
      <c r="D41" s="3" t="s">
        <v>107</v>
      </c>
      <c r="E41" s="3" t="s">
        <v>184</v>
      </c>
      <c r="F41" s="2">
        <v>43806</v>
      </c>
      <c r="G41">
        <v>4</v>
      </c>
      <c r="H41" s="6">
        <v>43809</v>
      </c>
      <c r="I41" s="6">
        <v>43823</v>
      </c>
      <c r="J41">
        <f>Table1[[#This Row],[Incubation_start_date]]-Table1[[#This Row],[First_egg_lay_date]]</f>
        <v>3</v>
      </c>
      <c r="K41" s="5">
        <f>Table1[[#This Row],[Hatch_date]]-Table1[[#This Row],[Incubation_start_date]]</f>
        <v>14</v>
      </c>
      <c r="L41" s="5">
        <v>0</v>
      </c>
    </row>
    <row r="42" spans="1:12" x14ac:dyDescent="0.35">
      <c r="A42" s="1" t="s">
        <v>69</v>
      </c>
      <c r="B42" t="s">
        <v>9</v>
      </c>
      <c r="C42" s="5">
        <v>1</v>
      </c>
      <c r="D42" s="3" t="s">
        <v>158</v>
      </c>
      <c r="E42" s="3" t="s">
        <v>234</v>
      </c>
      <c r="F42" s="2">
        <v>43802</v>
      </c>
      <c r="G42">
        <v>4</v>
      </c>
      <c r="H42" s="6">
        <v>43805</v>
      </c>
      <c r="I42" s="6">
        <v>43819</v>
      </c>
      <c r="J42">
        <f>Table1[[#This Row],[Incubation_start_date]]-Table1[[#This Row],[First_egg_lay_date]]</f>
        <v>3</v>
      </c>
      <c r="K42" s="5">
        <f>Table1[[#This Row],[Hatch_date]]-Table1[[#This Row],[Incubation_start_date]]</f>
        <v>14</v>
      </c>
      <c r="L42" s="5">
        <v>0</v>
      </c>
    </row>
    <row r="43" spans="1:12" x14ac:dyDescent="0.35">
      <c r="A43" s="1" t="s">
        <v>35</v>
      </c>
      <c r="B43" t="s">
        <v>9</v>
      </c>
      <c r="C43" s="5">
        <v>1</v>
      </c>
      <c r="D43" s="3" t="s">
        <v>124</v>
      </c>
      <c r="E43" s="3" t="s">
        <v>201</v>
      </c>
      <c r="F43" s="2">
        <v>43778</v>
      </c>
      <c r="G43">
        <v>4</v>
      </c>
      <c r="H43" s="6">
        <v>43782</v>
      </c>
      <c r="I43" s="6">
        <v>43797</v>
      </c>
      <c r="J43">
        <f>Table1[[#This Row],[Incubation_start_date]]-Table1[[#This Row],[First_egg_lay_date]]</f>
        <v>4</v>
      </c>
      <c r="K43" s="5">
        <f>Table1[[#This Row],[Hatch_date]]-Table1[[#This Row],[Incubation_start_date]]</f>
        <v>15</v>
      </c>
      <c r="L43" s="5">
        <v>1</v>
      </c>
    </row>
    <row r="44" spans="1:12" x14ac:dyDescent="0.35">
      <c r="A44" s="1" t="s">
        <v>17</v>
      </c>
      <c r="B44" t="s">
        <v>9</v>
      </c>
      <c r="C44" s="5">
        <v>1</v>
      </c>
      <c r="D44" s="3" t="s">
        <v>106</v>
      </c>
      <c r="E44" s="3" t="s">
        <v>183</v>
      </c>
      <c r="F44" s="2">
        <v>43770</v>
      </c>
      <c r="G44">
        <v>4</v>
      </c>
      <c r="H44" s="6">
        <v>43773</v>
      </c>
      <c r="I44" s="6">
        <v>43787</v>
      </c>
      <c r="J44">
        <f>Table1[[#This Row],[Incubation_start_date]]-Table1[[#This Row],[First_egg_lay_date]]</f>
        <v>3</v>
      </c>
      <c r="K44" s="5">
        <f>Table1[[#This Row],[Hatch_date]]-Table1[[#This Row],[Incubation_start_date]]</f>
        <v>14</v>
      </c>
      <c r="L44" s="5">
        <v>0</v>
      </c>
    </row>
    <row r="45" spans="1:12" x14ac:dyDescent="0.35">
      <c r="A45" s="1" t="s">
        <v>95</v>
      </c>
      <c r="B45" t="s">
        <v>9</v>
      </c>
      <c r="C45" s="5">
        <v>2</v>
      </c>
      <c r="D45" s="3" t="s">
        <v>106</v>
      </c>
      <c r="E45" s="3" t="s">
        <v>183</v>
      </c>
      <c r="F45" s="2">
        <v>43822</v>
      </c>
      <c r="G45">
        <v>3</v>
      </c>
      <c r="H45" s="6">
        <v>43824</v>
      </c>
      <c r="I45" s="6">
        <v>43838</v>
      </c>
      <c r="J45">
        <f>Table1[[#This Row],[Incubation_start_date]]-Table1[[#This Row],[First_egg_lay_date]]</f>
        <v>2</v>
      </c>
      <c r="K45" s="5">
        <f>Table1[[#This Row],[Hatch_date]]-Table1[[#This Row],[Incubation_start_date]]</f>
        <v>14</v>
      </c>
      <c r="L45" s="5">
        <v>0</v>
      </c>
    </row>
    <row r="46" spans="1:12" x14ac:dyDescent="0.35">
      <c r="A46" s="1" t="s">
        <v>45</v>
      </c>
      <c r="B46" t="s">
        <v>9</v>
      </c>
      <c r="C46" s="5">
        <v>1</v>
      </c>
      <c r="D46" s="3" t="s">
        <v>134</v>
      </c>
      <c r="E46" s="3" t="s">
        <v>211</v>
      </c>
      <c r="F46" s="2">
        <v>43780</v>
      </c>
      <c r="G46">
        <v>4</v>
      </c>
      <c r="H46" s="6">
        <v>43784</v>
      </c>
      <c r="I46" s="6">
        <v>43798</v>
      </c>
      <c r="J46">
        <f>Table1[[#This Row],[Incubation_start_date]]-Table1[[#This Row],[First_egg_lay_date]]</f>
        <v>4</v>
      </c>
      <c r="K46" s="5">
        <f>Table1[[#This Row],[Hatch_date]]-Table1[[#This Row],[Incubation_start_date]]</f>
        <v>14</v>
      </c>
      <c r="L46" s="5">
        <v>1</v>
      </c>
    </row>
    <row r="47" spans="1:12" x14ac:dyDescent="0.35">
      <c r="A47" s="1" t="s">
        <v>60</v>
      </c>
      <c r="B47" t="s">
        <v>9</v>
      </c>
      <c r="C47" s="5">
        <v>1</v>
      </c>
      <c r="D47" s="3" t="s">
        <v>149</v>
      </c>
      <c r="E47" s="3" t="s">
        <v>225</v>
      </c>
      <c r="F47" s="2">
        <v>43793</v>
      </c>
      <c r="G47">
        <v>4</v>
      </c>
      <c r="H47" s="6">
        <v>43796</v>
      </c>
      <c r="I47" s="6">
        <v>43810</v>
      </c>
      <c r="J47">
        <f>Table1[[#This Row],[Incubation_start_date]]-Table1[[#This Row],[First_egg_lay_date]]</f>
        <v>3</v>
      </c>
      <c r="K47" s="5">
        <f>Table1[[#This Row],[Hatch_date]]-Table1[[#This Row],[Incubation_start_date]]</f>
        <v>14</v>
      </c>
      <c r="L47" s="5">
        <v>0</v>
      </c>
    </row>
    <row r="48" spans="1:12" x14ac:dyDescent="0.35">
      <c r="A48" s="1" t="s">
        <v>72</v>
      </c>
      <c r="B48" t="s">
        <v>9</v>
      </c>
      <c r="C48" s="5">
        <v>1</v>
      </c>
      <c r="D48" s="3" t="s">
        <v>161</v>
      </c>
      <c r="E48" s="3" t="s">
        <v>237</v>
      </c>
      <c r="F48" s="2">
        <v>43804</v>
      </c>
      <c r="G48">
        <v>3</v>
      </c>
      <c r="H48" s="6">
        <v>43806</v>
      </c>
      <c r="I48" s="6">
        <v>43821</v>
      </c>
      <c r="J48">
        <f>Table1[[#This Row],[Incubation_start_date]]-Table1[[#This Row],[First_egg_lay_date]]</f>
        <v>2</v>
      </c>
      <c r="K48" s="5">
        <f>Table1[[#This Row],[Hatch_date]]-Table1[[#This Row],[Incubation_start_date]]</f>
        <v>15</v>
      </c>
      <c r="L48" s="5" t="s">
        <v>254</v>
      </c>
    </row>
    <row r="49" spans="1:12" x14ac:dyDescent="0.35">
      <c r="A49" s="1" t="s">
        <v>65</v>
      </c>
      <c r="B49" t="s">
        <v>9</v>
      </c>
      <c r="C49" s="5">
        <v>1</v>
      </c>
      <c r="D49" s="3" t="s">
        <v>154</v>
      </c>
      <c r="E49" s="3" t="s">
        <v>230</v>
      </c>
      <c r="F49" s="2">
        <v>43798</v>
      </c>
      <c r="G49">
        <v>4</v>
      </c>
      <c r="H49" s="6">
        <v>43801</v>
      </c>
      <c r="I49" s="6">
        <v>43816</v>
      </c>
      <c r="J49">
        <f>Table1[[#This Row],[Incubation_start_date]]-Table1[[#This Row],[First_egg_lay_date]]</f>
        <v>3</v>
      </c>
      <c r="K49" s="5">
        <f>Table1[[#This Row],[Hatch_date]]-Table1[[#This Row],[Incubation_start_date]]</f>
        <v>15</v>
      </c>
      <c r="L49" s="5">
        <v>0</v>
      </c>
    </row>
    <row r="50" spans="1:12" x14ac:dyDescent="0.35">
      <c r="A50" s="1" t="s">
        <v>22</v>
      </c>
      <c r="B50" t="s">
        <v>9</v>
      </c>
      <c r="C50" s="5">
        <v>1</v>
      </c>
      <c r="D50" s="3" t="s">
        <v>111</v>
      </c>
      <c r="E50" s="3" t="s">
        <v>188</v>
      </c>
      <c r="F50" s="2">
        <v>43773</v>
      </c>
      <c r="G50">
        <v>4</v>
      </c>
      <c r="H50" s="6">
        <v>43776</v>
      </c>
      <c r="I50" s="6">
        <v>43791</v>
      </c>
      <c r="J50">
        <f>Table1[[#This Row],[Incubation_start_date]]-Table1[[#This Row],[First_egg_lay_date]]</f>
        <v>3</v>
      </c>
      <c r="K50" s="5">
        <f>Table1[[#This Row],[Hatch_date]]-Table1[[#This Row],[Incubation_start_date]]</f>
        <v>15</v>
      </c>
      <c r="L50" s="5">
        <v>0</v>
      </c>
    </row>
    <row r="51" spans="1:12" x14ac:dyDescent="0.35">
      <c r="A51" s="1" t="s">
        <v>22</v>
      </c>
      <c r="B51" t="s">
        <v>9</v>
      </c>
      <c r="C51" s="5">
        <v>2</v>
      </c>
      <c r="D51" s="3" t="s">
        <v>111</v>
      </c>
      <c r="E51" s="3" t="s">
        <v>188</v>
      </c>
      <c r="F51" s="2">
        <v>43830</v>
      </c>
      <c r="G51">
        <v>3</v>
      </c>
      <c r="H51" s="6">
        <v>43832</v>
      </c>
      <c r="I51" s="6">
        <v>43846</v>
      </c>
      <c r="J51">
        <f>Table1[[#This Row],[Incubation_start_date]]-Table1[[#This Row],[First_egg_lay_date]]</f>
        <v>2</v>
      </c>
      <c r="K51" s="5">
        <f>Table1[[#This Row],[Hatch_date]]-Table1[[#This Row],[Incubation_start_date]]</f>
        <v>14</v>
      </c>
      <c r="L51" s="5">
        <v>0</v>
      </c>
    </row>
    <row r="52" spans="1:12" x14ac:dyDescent="0.35">
      <c r="A52" s="1" t="s">
        <v>44</v>
      </c>
      <c r="B52" t="s">
        <v>9</v>
      </c>
      <c r="C52" s="5">
        <v>1</v>
      </c>
      <c r="D52" s="3" t="s">
        <v>133</v>
      </c>
      <c r="E52" s="3" t="s">
        <v>210</v>
      </c>
      <c r="F52" s="2">
        <v>43780</v>
      </c>
      <c r="G52">
        <v>4</v>
      </c>
      <c r="H52" s="6">
        <v>43783</v>
      </c>
      <c r="I52" s="6">
        <v>43798</v>
      </c>
      <c r="J52">
        <f>Table1[[#This Row],[Incubation_start_date]]-Table1[[#This Row],[First_egg_lay_date]]</f>
        <v>3</v>
      </c>
      <c r="K52" s="5">
        <f>Table1[[#This Row],[Hatch_date]]-Table1[[#This Row],[Incubation_start_date]]</f>
        <v>15</v>
      </c>
      <c r="L52" s="5">
        <v>0</v>
      </c>
    </row>
    <row r="53" spans="1:12" x14ac:dyDescent="0.35">
      <c r="A53" s="1" t="s">
        <v>14</v>
      </c>
      <c r="B53" t="s">
        <v>9</v>
      </c>
      <c r="C53" s="5">
        <v>1</v>
      </c>
      <c r="D53" s="3" t="s">
        <v>103</v>
      </c>
      <c r="E53" s="3" t="s">
        <v>180</v>
      </c>
      <c r="F53" s="2">
        <v>43770</v>
      </c>
      <c r="G53">
        <v>3</v>
      </c>
      <c r="H53" s="6">
        <v>43773</v>
      </c>
      <c r="I53" s="6">
        <v>43788</v>
      </c>
      <c r="J53">
        <f>Table1[[#This Row],[Incubation_start_date]]-Table1[[#This Row],[First_egg_lay_date]]</f>
        <v>3</v>
      </c>
      <c r="K53" s="5">
        <f>Table1[[#This Row],[Hatch_date]]-Table1[[#This Row],[Incubation_start_date]]</f>
        <v>15</v>
      </c>
      <c r="L53" s="5">
        <v>1</v>
      </c>
    </row>
    <row r="54" spans="1:12" x14ac:dyDescent="0.35">
      <c r="A54" s="1" t="s">
        <v>14</v>
      </c>
      <c r="B54" t="s">
        <v>9</v>
      </c>
      <c r="C54" s="5">
        <v>2</v>
      </c>
      <c r="D54" s="3" t="s">
        <v>103</v>
      </c>
      <c r="E54" s="3" t="s">
        <v>180</v>
      </c>
      <c r="F54" s="2">
        <v>43828</v>
      </c>
      <c r="G54">
        <v>3</v>
      </c>
      <c r="H54" s="6">
        <v>43830</v>
      </c>
      <c r="I54" s="6">
        <v>43845</v>
      </c>
      <c r="J54">
        <f>Table1[[#This Row],[Incubation_start_date]]-Table1[[#This Row],[First_egg_lay_date]]</f>
        <v>2</v>
      </c>
      <c r="K54" s="5">
        <f>Table1[[#This Row],[Hatch_date]]-Table1[[#This Row],[Incubation_start_date]]</f>
        <v>15</v>
      </c>
      <c r="L54" s="5">
        <v>0</v>
      </c>
    </row>
    <row r="55" spans="1:12" x14ac:dyDescent="0.35">
      <c r="A55" s="1" t="s">
        <v>75</v>
      </c>
      <c r="B55" t="s">
        <v>9</v>
      </c>
      <c r="C55" s="5">
        <v>1</v>
      </c>
      <c r="D55" s="3" t="s">
        <v>164</v>
      </c>
      <c r="E55" s="3" t="s">
        <v>240</v>
      </c>
      <c r="F55" s="2">
        <v>43805</v>
      </c>
      <c r="G55">
        <v>4</v>
      </c>
      <c r="H55" s="6">
        <v>43808</v>
      </c>
      <c r="I55" s="6">
        <v>43822</v>
      </c>
      <c r="J55">
        <f>Table1[[#This Row],[Incubation_start_date]]-Table1[[#This Row],[First_egg_lay_date]]</f>
        <v>3</v>
      </c>
      <c r="K55" s="5">
        <f>Table1[[#This Row],[Hatch_date]]-Table1[[#This Row],[Incubation_start_date]]</f>
        <v>14</v>
      </c>
      <c r="L55" s="5">
        <v>0</v>
      </c>
    </row>
    <row r="56" spans="1:12" x14ac:dyDescent="0.35">
      <c r="A56" s="1" t="s">
        <v>82</v>
      </c>
      <c r="B56" t="s">
        <v>9</v>
      </c>
      <c r="C56" s="5">
        <v>1</v>
      </c>
      <c r="D56" s="3" t="s">
        <v>170</v>
      </c>
      <c r="E56" s="3" t="s">
        <v>246</v>
      </c>
      <c r="F56" s="2">
        <v>43808</v>
      </c>
      <c r="G56">
        <v>4</v>
      </c>
      <c r="H56" s="6">
        <v>43811</v>
      </c>
      <c r="I56" s="6">
        <v>43825</v>
      </c>
      <c r="J56">
        <f>Table1[[#This Row],[Incubation_start_date]]-Table1[[#This Row],[First_egg_lay_date]]</f>
        <v>3</v>
      </c>
      <c r="K56" s="5">
        <f>Table1[[#This Row],[Hatch_date]]-Table1[[#This Row],[Incubation_start_date]]</f>
        <v>14</v>
      </c>
      <c r="L56" s="5">
        <v>0</v>
      </c>
    </row>
    <row r="57" spans="1:12" x14ac:dyDescent="0.35">
      <c r="A57" s="1" t="s">
        <v>84</v>
      </c>
      <c r="B57" t="s">
        <v>9</v>
      </c>
      <c r="C57" s="5">
        <v>1</v>
      </c>
      <c r="D57" s="3" t="s">
        <v>172</v>
      </c>
      <c r="E57" s="3" t="s">
        <v>229</v>
      </c>
      <c r="F57" s="2">
        <v>43809</v>
      </c>
      <c r="G57">
        <v>4</v>
      </c>
      <c r="H57" s="6">
        <v>43812</v>
      </c>
      <c r="I57" s="6">
        <v>43826</v>
      </c>
      <c r="J57">
        <f>Table1[[#This Row],[Incubation_start_date]]-Table1[[#This Row],[First_egg_lay_date]]</f>
        <v>3</v>
      </c>
      <c r="K57" s="5">
        <f>Table1[[#This Row],[Hatch_date]]-Table1[[#This Row],[Incubation_start_date]]</f>
        <v>14</v>
      </c>
      <c r="L57" s="5">
        <v>0</v>
      </c>
    </row>
    <row r="58" spans="1:12" x14ac:dyDescent="0.35">
      <c r="A58" s="1" t="s">
        <v>83</v>
      </c>
      <c r="B58" t="s">
        <v>9</v>
      </c>
      <c r="C58" s="5">
        <v>1</v>
      </c>
      <c r="D58" s="3" t="s">
        <v>171</v>
      </c>
      <c r="E58" s="4" t="s">
        <v>254</v>
      </c>
      <c r="F58" s="2">
        <v>43808</v>
      </c>
      <c r="G58">
        <v>3</v>
      </c>
      <c r="H58" s="6">
        <v>43810</v>
      </c>
      <c r="I58" s="6">
        <v>43826</v>
      </c>
      <c r="J58">
        <f>Table1[[#This Row],[Incubation_start_date]]-Table1[[#This Row],[First_egg_lay_date]]</f>
        <v>2</v>
      </c>
      <c r="K58" s="5">
        <f>Table1[[#This Row],[Hatch_date]]-Table1[[#This Row],[Incubation_start_date]]</f>
        <v>16</v>
      </c>
      <c r="L58" s="5">
        <v>0</v>
      </c>
    </row>
    <row r="59" spans="1:12" x14ac:dyDescent="0.35">
      <c r="A59" s="1" t="s">
        <v>27</v>
      </c>
      <c r="B59" t="s">
        <v>9</v>
      </c>
      <c r="C59" s="5">
        <v>1</v>
      </c>
      <c r="D59" s="3" t="s">
        <v>116</v>
      </c>
      <c r="E59" s="3" t="s">
        <v>193</v>
      </c>
      <c r="F59" s="2">
        <v>43774</v>
      </c>
      <c r="G59">
        <v>4</v>
      </c>
      <c r="H59" s="6">
        <v>43777</v>
      </c>
      <c r="I59" s="6">
        <v>43791</v>
      </c>
      <c r="J59">
        <f>Table1[[#This Row],[Incubation_start_date]]-Table1[[#This Row],[First_egg_lay_date]]</f>
        <v>3</v>
      </c>
      <c r="K59" s="5">
        <f>Table1[[#This Row],[Hatch_date]]-Table1[[#This Row],[Incubation_start_date]]</f>
        <v>14</v>
      </c>
      <c r="L59" s="5">
        <v>0</v>
      </c>
    </row>
    <row r="60" spans="1:12" x14ac:dyDescent="0.35">
      <c r="A60" s="1" t="s">
        <v>76</v>
      </c>
      <c r="B60" t="s">
        <v>9</v>
      </c>
      <c r="C60" s="5">
        <v>1</v>
      </c>
      <c r="D60" s="3" t="s">
        <v>165</v>
      </c>
      <c r="E60" s="3" t="s">
        <v>241</v>
      </c>
      <c r="F60" s="2">
        <v>43806</v>
      </c>
      <c r="G60">
        <v>4</v>
      </c>
      <c r="H60" s="6">
        <v>43809</v>
      </c>
      <c r="I60" s="6">
        <v>43823</v>
      </c>
      <c r="J60">
        <f>Table1[[#This Row],[Incubation_start_date]]-Table1[[#This Row],[First_egg_lay_date]]</f>
        <v>3</v>
      </c>
      <c r="K60" s="5">
        <f>Table1[[#This Row],[Hatch_date]]-Table1[[#This Row],[Incubation_start_date]]</f>
        <v>14</v>
      </c>
      <c r="L60" s="5">
        <v>0</v>
      </c>
    </row>
    <row r="61" spans="1:12" x14ac:dyDescent="0.35">
      <c r="A61" s="1" t="s">
        <v>56</v>
      </c>
      <c r="B61" t="s">
        <v>9</v>
      </c>
      <c r="C61" s="5">
        <v>1</v>
      </c>
      <c r="D61" s="3" t="s">
        <v>145</v>
      </c>
      <c r="E61" s="3" t="s">
        <v>221</v>
      </c>
      <c r="F61" s="2">
        <v>43790</v>
      </c>
      <c r="G61">
        <v>4</v>
      </c>
      <c r="H61" s="6">
        <v>43794</v>
      </c>
      <c r="I61" s="6">
        <v>43808</v>
      </c>
      <c r="J61">
        <f>Table1[[#This Row],[Incubation_start_date]]-Table1[[#This Row],[First_egg_lay_date]]</f>
        <v>4</v>
      </c>
      <c r="K61" s="5">
        <f>Table1[[#This Row],[Hatch_date]]-Table1[[#This Row],[Incubation_start_date]]</f>
        <v>14</v>
      </c>
      <c r="L61" s="5">
        <v>0</v>
      </c>
    </row>
    <row r="62" spans="1:12" x14ac:dyDescent="0.35">
      <c r="A62" s="1" t="s">
        <v>90</v>
      </c>
      <c r="B62" t="s">
        <v>9</v>
      </c>
      <c r="C62" s="5">
        <v>2</v>
      </c>
      <c r="D62" s="3" t="s">
        <v>116</v>
      </c>
      <c r="E62" s="3" t="s">
        <v>193</v>
      </c>
      <c r="F62" s="2">
        <v>43812</v>
      </c>
      <c r="G62">
        <v>4</v>
      </c>
      <c r="H62" s="6">
        <v>43815</v>
      </c>
      <c r="I62" s="6">
        <v>43829</v>
      </c>
      <c r="J62">
        <f>Table1[[#This Row],[Incubation_start_date]]-Table1[[#This Row],[First_egg_lay_date]]</f>
        <v>3</v>
      </c>
      <c r="K62" s="5">
        <f>Table1[[#This Row],[Hatch_date]]-Table1[[#This Row],[Incubation_start_date]]</f>
        <v>14</v>
      </c>
      <c r="L62" s="5">
        <v>0</v>
      </c>
    </row>
    <row r="63" spans="1:12" x14ac:dyDescent="0.35">
      <c r="A63" s="1" t="s">
        <v>89</v>
      </c>
      <c r="B63" t="s">
        <v>9</v>
      </c>
      <c r="C63" s="5">
        <v>1</v>
      </c>
      <c r="D63" s="3" t="s">
        <v>174</v>
      </c>
      <c r="E63" s="3" t="s">
        <v>249</v>
      </c>
      <c r="F63" s="2">
        <v>43811</v>
      </c>
      <c r="G63">
        <v>4</v>
      </c>
      <c r="H63" s="6">
        <v>43815</v>
      </c>
      <c r="I63" s="6">
        <v>43829</v>
      </c>
      <c r="J63">
        <f>Table1[[#This Row],[Incubation_start_date]]-Table1[[#This Row],[First_egg_lay_date]]</f>
        <v>4</v>
      </c>
      <c r="K63" s="5">
        <f>Table1[[#This Row],[Hatch_date]]-Table1[[#This Row],[Incubation_start_date]]</f>
        <v>14</v>
      </c>
      <c r="L63" s="5">
        <v>1</v>
      </c>
    </row>
    <row r="64" spans="1:12" x14ac:dyDescent="0.35">
      <c r="A64" s="1" t="s">
        <v>81</v>
      </c>
      <c r="B64" t="s">
        <v>9</v>
      </c>
      <c r="C64" s="5">
        <v>1</v>
      </c>
      <c r="D64" s="3" t="s">
        <v>169</v>
      </c>
      <c r="E64" s="3" t="s">
        <v>245</v>
      </c>
      <c r="F64" s="2">
        <v>43808</v>
      </c>
      <c r="G64">
        <v>4</v>
      </c>
      <c r="H64" s="6">
        <v>43811</v>
      </c>
      <c r="I64" s="6">
        <v>43826</v>
      </c>
      <c r="J64">
        <f>Table1[[#This Row],[Incubation_start_date]]-Table1[[#This Row],[First_egg_lay_date]]</f>
        <v>3</v>
      </c>
      <c r="K64" s="5">
        <f>Table1[[#This Row],[Hatch_date]]-Table1[[#This Row],[Incubation_start_date]]</f>
        <v>15</v>
      </c>
      <c r="L64" s="5">
        <v>0</v>
      </c>
    </row>
    <row r="65" spans="1:12" x14ac:dyDescent="0.35">
      <c r="A65" s="1" t="s">
        <v>12</v>
      </c>
      <c r="B65" t="s">
        <v>9</v>
      </c>
      <c r="C65" s="5">
        <v>1</v>
      </c>
      <c r="D65" s="3" t="s">
        <v>101</v>
      </c>
      <c r="E65" s="3" t="s">
        <v>178</v>
      </c>
      <c r="F65" s="2">
        <v>43766</v>
      </c>
      <c r="G65">
        <v>4</v>
      </c>
      <c r="H65" s="6">
        <v>43769</v>
      </c>
      <c r="I65" s="6">
        <v>43783</v>
      </c>
      <c r="J65">
        <f>Table1[[#This Row],[Incubation_start_date]]-Table1[[#This Row],[First_egg_lay_date]]</f>
        <v>3</v>
      </c>
      <c r="K65" s="5">
        <f>Table1[[#This Row],[Hatch_date]]-Table1[[#This Row],[Incubation_start_date]]</f>
        <v>14</v>
      </c>
      <c r="L65" s="5">
        <v>0</v>
      </c>
    </row>
    <row r="66" spans="1:12" x14ac:dyDescent="0.35">
      <c r="A66" s="1" t="s">
        <v>12</v>
      </c>
      <c r="B66" t="s">
        <v>9</v>
      </c>
      <c r="C66" s="5">
        <v>2</v>
      </c>
      <c r="D66" s="3" t="s">
        <v>101</v>
      </c>
      <c r="E66" s="3" t="s">
        <v>178</v>
      </c>
      <c r="F66" s="2">
        <v>43814</v>
      </c>
      <c r="G66">
        <v>4</v>
      </c>
      <c r="H66" s="6">
        <v>43817</v>
      </c>
      <c r="I66" s="6">
        <v>43833</v>
      </c>
      <c r="J66">
        <f>Table1[[#This Row],[Incubation_start_date]]-Table1[[#This Row],[First_egg_lay_date]]</f>
        <v>3</v>
      </c>
      <c r="K66" s="5">
        <f>Table1[[#This Row],[Hatch_date]]-Table1[[#This Row],[Incubation_start_date]]</f>
        <v>16</v>
      </c>
      <c r="L66" s="5">
        <v>0</v>
      </c>
    </row>
    <row r="67" spans="1:12" x14ac:dyDescent="0.35">
      <c r="A67" s="1" t="s">
        <v>67</v>
      </c>
      <c r="B67" t="s">
        <v>9</v>
      </c>
      <c r="C67" s="5">
        <v>1</v>
      </c>
      <c r="D67" s="3" t="s">
        <v>156</v>
      </c>
      <c r="E67" s="3" t="s">
        <v>232</v>
      </c>
      <c r="F67" s="2">
        <v>43801</v>
      </c>
      <c r="G67">
        <v>4</v>
      </c>
      <c r="H67" s="6">
        <v>43804</v>
      </c>
      <c r="I67" s="6">
        <v>43818</v>
      </c>
      <c r="J67">
        <f>Table1[[#This Row],[Incubation_start_date]]-Table1[[#This Row],[First_egg_lay_date]]</f>
        <v>3</v>
      </c>
      <c r="K67" s="5">
        <f>Table1[[#This Row],[Hatch_date]]-Table1[[#This Row],[Incubation_start_date]]</f>
        <v>14</v>
      </c>
      <c r="L67" s="5">
        <v>0</v>
      </c>
    </row>
    <row r="68" spans="1:12" x14ac:dyDescent="0.35">
      <c r="A68" s="1" t="s">
        <v>93</v>
      </c>
      <c r="B68" t="s">
        <v>9</v>
      </c>
      <c r="C68" s="5">
        <v>2</v>
      </c>
      <c r="D68" s="3" t="s">
        <v>100</v>
      </c>
      <c r="E68" s="3" t="s">
        <v>177</v>
      </c>
      <c r="F68" s="2">
        <v>43814</v>
      </c>
      <c r="G68">
        <v>4</v>
      </c>
      <c r="H68" s="6">
        <v>43817</v>
      </c>
      <c r="I68" s="6">
        <v>43831</v>
      </c>
      <c r="J68">
        <f>Table1[[#This Row],[Incubation_start_date]]-Table1[[#This Row],[First_egg_lay_date]]</f>
        <v>3</v>
      </c>
      <c r="K68" s="5">
        <f>Table1[[#This Row],[Hatch_date]]-Table1[[#This Row],[Incubation_start_date]]</f>
        <v>14</v>
      </c>
      <c r="L68" s="5">
        <v>0</v>
      </c>
    </row>
    <row r="69" spans="1:12" x14ac:dyDescent="0.35">
      <c r="A69" s="1" t="s">
        <v>11</v>
      </c>
      <c r="B69" t="s">
        <v>9</v>
      </c>
      <c r="C69" s="5">
        <v>1</v>
      </c>
      <c r="D69" s="3" t="s">
        <v>100</v>
      </c>
      <c r="E69" s="3" t="s">
        <v>177</v>
      </c>
      <c r="F69" s="2">
        <v>43765</v>
      </c>
      <c r="G69">
        <v>4</v>
      </c>
      <c r="H69" s="6">
        <v>43768</v>
      </c>
      <c r="I69" s="6">
        <v>43783</v>
      </c>
      <c r="J69">
        <f>Table1[[#This Row],[Incubation_start_date]]-Table1[[#This Row],[First_egg_lay_date]]</f>
        <v>3</v>
      </c>
      <c r="K69" s="5">
        <f>Table1[[#This Row],[Hatch_date]]-Table1[[#This Row],[Incubation_start_date]]</f>
        <v>15</v>
      </c>
      <c r="L69" s="5">
        <v>0</v>
      </c>
    </row>
    <row r="70" spans="1:12" x14ac:dyDescent="0.35">
      <c r="A70" s="1" t="s">
        <v>78</v>
      </c>
      <c r="B70" t="s">
        <v>9</v>
      </c>
      <c r="C70" s="5">
        <v>1</v>
      </c>
      <c r="D70" s="3" t="s">
        <v>166</v>
      </c>
      <c r="E70" s="3" t="s">
        <v>242</v>
      </c>
      <c r="F70" s="2">
        <v>43807</v>
      </c>
      <c r="G70">
        <v>4</v>
      </c>
      <c r="H70" s="6">
        <v>43810</v>
      </c>
      <c r="I70" s="6">
        <v>43825</v>
      </c>
      <c r="J70">
        <f>Table1[[#This Row],[Incubation_start_date]]-Table1[[#This Row],[First_egg_lay_date]]</f>
        <v>3</v>
      </c>
      <c r="K70" s="5">
        <f>Table1[[#This Row],[Hatch_date]]-Table1[[#This Row],[Incubation_start_date]]</f>
        <v>15</v>
      </c>
      <c r="L70" s="5">
        <v>0</v>
      </c>
    </row>
    <row r="71" spans="1:12" x14ac:dyDescent="0.35">
      <c r="A71" s="1" t="s">
        <v>85</v>
      </c>
      <c r="B71" t="s">
        <v>9</v>
      </c>
      <c r="C71" s="5">
        <v>1</v>
      </c>
      <c r="D71" s="3" t="s">
        <v>173</v>
      </c>
      <c r="E71" s="3" t="s">
        <v>247</v>
      </c>
      <c r="F71" s="2">
        <v>43809</v>
      </c>
      <c r="G71">
        <v>4</v>
      </c>
      <c r="H71" s="6">
        <v>43812</v>
      </c>
      <c r="I71" s="6">
        <v>43826</v>
      </c>
      <c r="J71">
        <f>Table1[[#This Row],[Incubation_start_date]]-Table1[[#This Row],[First_egg_lay_date]]</f>
        <v>3</v>
      </c>
      <c r="K71" s="5">
        <f>Table1[[#This Row],[Hatch_date]]-Table1[[#This Row],[Incubation_start_date]]</f>
        <v>14</v>
      </c>
      <c r="L71" s="5">
        <v>0</v>
      </c>
    </row>
    <row r="72" spans="1:12" x14ac:dyDescent="0.35">
      <c r="A72" s="1" t="s">
        <v>64</v>
      </c>
      <c r="B72" t="s">
        <v>9</v>
      </c>
      <c r="C72" s="5">
        <v>1</v>
      </c>
      <c r="D72" s="3" t="s">
        <v>153</v>
      </c>
      <c r="E72" s="3" t="s">
        <v>229</v>
      </c>
      <c r="F72" s="2">
        <v>43796</v>
      </c>
      <c r="G72">
        <v>5</v>
      </c>
      <c r="H72" s="6">
        <v>43800</v>
      </c>
      <c r="I72" s="6">
        <v>43814</v>
      </c>
      <c r="J72">
        <f>Table1[[#This Row],[Incubation_start_date]]-Table1[[#This Row],[First_egg_lay_date]]</f>
        <v>4</v>
      </c>
      <c r="K72" s="5">
        <f>Table1[[#This Row],[Hatch_date]]-Table1[[#This Row],[Incubation_start_date]]</f>
        <v>14</v>
      </c>
      <c r="L72" s="5">
        <v>0</v>
      </c>
    </row>
    <row r="73" spans="1:12" x14ac:dyDescent="0.35">
      <c r="A73" s="1" t="s">
        <v>39</v>
      </c>
      <c r="B73" t="s">
        <v>9</v>
      </c>
      <c r="C73" s="5">
        <v>1</v>
      </c>
      <c r="D73" s="3" t="s">
        <v>128</v>
      </c>
      <c r="E73" s="3" t="s">
        <v>205</v>
      </c>
      <c r="F73" s="2">
        <v>43779</v>
      </c>
      <c r="G73">
        <v>4</v>
      </c>
      <c r="H73" s="6">
        <v>43782</v>
      </c>
      <c r="I73" s="6">
        <v>43796</v>
      </c>
      <c r="J73">
        <f>Table1[[#This Row],[Incubation_start_date]]-Table1[[#This Row],[First_egg_lay_date]]</f>
        <v>3</v>
      </c>
      <c r="K73" s="5">
        <f>Table1[[#This Row],[Hatch_date]]-Table1[[#This Row],[Incubation_start_date]]</f>
        <v>14</v>
      </c>
      <c r="L73" s="5">
        <v>0</v>
      </c>
    </row>
    <row r="74" spans="1:12" x14ac:dyDescent="0.35">
      <c r="A74" s="1" t="s">
        <v>34</v>
      </c>
      <c r="B74" t="s">
        <v>9</v>
      </c>
      <c r="C74" s="5">
        <v>1</v>
      </c>
      <c r="D74" s="3" t="s">
        <v>123</v>
      </c>
      <c r="E74" s="3" t="s">
        <v>200</v>
      </c>
      <c r="F74" s="2">
        <v>43778</v>
      </c>
      <c r="G74">
        <v>4</v>
      </c>
      <c r="H74" s="6">
        <v>43781</v>
      </c>
      <c r="I74" s="6">
        <v>43796</v>
      </c>
      <c r="J74">
        <f>Table1[[#This Row],[Incubation_start_date]]-Table1[[#This Row],[First_egg_lay_date]]</f>
        <v>3</v>
      </c>
      <c r="K74" s="5">
        <f>Table1[[#This Row],[Hatch_date]]-Table1[[#This Row],[Incubation_start_date]]</f>
        <v>15</v>
      </c>
      <c r="L74" s="5">
        <v>0</v>
      </c>
    </row>
    <row r="75" spans="1:12" x14ac:dyDescent="0.35">
      <c r="A75" s="1" t="s">
        <v>51</v>
      </c>
      <c r="B75" t="s">
        <v>9</v>
      </c>
      <c r="C75" s="5">
        <v>1</v>
      </c>
      <c r="D75" s="3" t="s">
        <v>140</v>
      </c>
      <c r="E75" s="3" t="s">
        <v>217</v>
      </c>
      <c r="F75" s="2">
        <v>43788</v>
      </c>
      <c r="G75">
        <v>4</v>
      </c>
      <c r="H75" s="6">
        <v>43791</v>
      </c>
      <c r="I75" s="6">
        <v>43805</v>
      </c>
      <c r="J75">
        <f>Table1[[#This Row],[Incubation_start_date]]-Table1[[#This Row],[First_egg_lay_date]]</f>
        <v>3</v>
      </c>
      <c r="K75" s="5">
        <f>Table1[[#This Row],[Hatch_date]]-Table1[[#This Row],[Incubation_start_date]]</f>
        <v>14</v>
      </c>
      <c r="L75" s="5">
        <v>0</v>
      </c>
    </row>
    <row r="76" spans="1:12" x14ac:dyDescent="0.35">
      <c r="A76" s="1" t="s">
        <v>49</v>
      </c>
      <c r="B76" t="s">
        <v>9</v>
      </c>
      <c r="C76" s="5">
        <v>1</v>
      </c>
      <c r="D76" s="3" t="s">
        <v>138</v>
      </c>
      <c r="E76" s="3" t="s">
        <v>215</v>
      </c>
      <c r="F76" s="2">
        <v>43784</v>
      </c>
      <c r="G76">
        <v>5</v>
      </c>
      <c r="H76" s="6">
        <v>43788</v>
      </c>
      <c r="I76" s="6">
        <v>43803</v>
      </c>
      <c r="J76">
        <f>Table1[[#This Row],[Incubation_start_date]]-Table1[[#This Row],[First_egg_lay_date]]</f>
        <v>4</v>
      </c>
      <c r="K76" s="5">
        <f>Table1[[#This Row],[Hatch_date]]-Table1[[#This Row],[Incubation_start_date]]</f>
        <v>15</v>
      </c>
      <c r="L76" s="5">
        <v>0</v>
      </c>
    </row>
    <row r="77" spans="1:12" x14ac:dyDescent="0.35">
      <c r="A77" s="1" t="s">
        <v>59</v>
      </c>
      <c r="B77" t="s">
        <v>9</v>
      </c>
      <c r="C77" s="5">
        <v>1</v>
      </c>
      <c r="D77" s="3" t="s">
        <v>148</v>
      </c>
      <c r="E77" s="3" t="s">
        <v>224</v>
      </c>
      <c r="F77" s="2">
        <v>43792</v>
      </c>
      <c r="G77">
        <v>5</v>
      </c>
      <c r="H77" s="6">
        <v>43796</v>
      </c>
      <c r="I77" s="6">
        <v>43810</v>
      </c>
      <c r="J77">
        <f>Table1[[#This Row],[Incubation_start_date]]-Table1[[#This Row],[First_egg_lay_date]]</f>
        <v>4</v>
      </c>
      <c r="K77" s="5">
        <f>Table1[[#This Row],[Hatch_date]]-Table1[[#This Row],[Incubation_start_date]]</f>
        <v>14</v>
      </c>
      <c r="L77" s="5">
        <v>0</v>
      </c>
    </row>
    <row r="78" spans="1:12" x14ac:dyDescent="0.35">
      <c r="A78" s="1" t="s">
        <v>70</v>
      </c>
      <c r="B78" t="s">
        <v>9</v>
      </c>
      <c r="C78" s="5">
        <v>1</v>
      </c>
      <c r="D78" s="3" t="s">
        <v>159</v>
      </c>
      <c r="E78" s="3" t="s">
        <v>235</v>
      </c>
      <c r="F78" s="2">
        <v>43802</v>
      </c>
      <c r="G78">
        <v>4</v>
      </c>
      <c r="H78" s="6">
        <v>43805</v>
      </c>
      <c r="I78" s="6">
        <v>43819</v>
      </c>
      <c r="J78">
        <f>Table1[[#This Row],[Incubation_start_date]]-Table1[[#This Row],[First_egg_lay_date]]</f>
        <v>3</v>
      </c>
      <c r="K78" s="5">
        <f>Table1[[#This Row],[Hatch_date]]-Table1[[#This Row],[Incubation_start_date]]</f>
        <v>14</v>
      </c>
      <c r="L78" s="5">
        <v>0</v>
      </c>
    </row>
    <row r="79" spans="1:12" x14ac:dyDescent="0.35">
      <c r="A79" s="1" t="s">
        <v>48</v>
      </c>
      <c r="B79" t="s">
        <v>9</v>
      </c>
      <c r="C79" s="5">
        <v>1</v>
      </c>
      <c r="D79" s="3" t="s">
        <v>137</v>
      </c>
      <c r="E79" s="3" t="s">
        <v>214</v>
      </c>
      <c r="F79" s="2">
        <v>43784</v>
      </c>
      <c r="G79">
        <v>4</v>
      </c>
      <c r="H79" s="6">
        <v>43788</v>
      </c>
      <c r="I79" s="6">
        <v>43803</v>
      </c>
      <c r="J79">
        <f>Table1[[#This Row],[Incubation_start_date]]-Table1[[#This Row],[First_egg_lay_date]]</f>
        <v>4</v>
      </c>
      <c r="K79" s="5">
        <f>Table1[[#This Row],[Hatch_date]]-Table1[[#This Row],[Incubation_start_date]]</f>
        <v>15</v>
      </c>
      <c r="L79" s="5">
        <v>1</v>
      </c>
    </row>
    <row r="80" spans="1:12" x14ac:dyDescent="0.35">
      <c r="A80" s="1" t="s">
        <v>80</v>
      </c>
      <c r="B80" t="s">
        <v>9</v>
      </c>
      <c r="C80" s="5">
        <v>1</v>
      </c>
      <c r="D80" s="3" t="s">
        <v>168</v>
      </c>
      <c r="E80" s="3" t="s">
        <v>244</v>
      </c>
      <c r="F80" s="2">
        <v>43807</v>
      </c>
      <c r="G80">
        <v>4</v>
      </c>
      <c r="H80" s="6">
        <v>43810</v>
      </c>
      <c r="I80" s="6">
        <v>43824</v>
      </c>
      <c r="J80">
        <f>Table1[[#This Row],[Incubation_start_date]]-Table1[[#This Row],[First_egg_lay_date]]</f>
        <v>3</v>
      </c>
      <c r="K80" s="5">
        <f>Table1[[#This Row],[Hatch_date]]-Table1[[#This Row],[Incubation_start_date]]</f>
        <v>14</v>
      </c>
      <c r="L80" s="5">
        <v>0</v>
      </c>
    </row>
    <row r="81" spans="1:12" x14ac:dyDescent="0.35">
      <c r="A81" s="1" t="s">
        <v>61</v>
      </c>
      <c r="B81" t="s">
        <v>9</v>
      </c>
      <c r="C81" s="5">
        <v>1</v>
      </c>
      <c r="D81" s="3" t="s">
        <v>150</v>
      </c>
      <c r="E81" s="3" t="s">
        <v>226</v>
      </c>
      <c r="F81" s="2">
        <v>43794</v>
      </c>
      <c r="G81">
        <v>4</v>
      </c>
      <c r="H81" s="6">
        <v>43797</v>
      </c>
      <c r="I81" s="6">
        <v>43811</v>
      </c>
      <c r="J81">
        <f>Table1[[#This Row],[Incubation_start_date]]-Table1[[#This Row],[First_egg_lay_date]]</f>
        <v>3</v>
      </c>
      <c r="K81" s="5">
        <f>Table1[[#This Row],[Hatch_date]]-Table1[[#This Row],[Incubation_start_date]]</f>
        <v>14</v>
      </c>
      <c r="L81" s="5">
        <v>0</v>
      </c>
    </row>
    <row r="82" spans="1:12" x14ac:dyDescent="0.35">
      <c r="A82" s="1" t="s">
        <v>79</v>
      </c>
      <c r="B82" t="s">
        <v>9</v>
      </c>
      <c r="C82" s="5">
        <v>1</v>
      </c>
      <c r="D82" s="3" t="s">
        <v>167</v>
      </c>
      <c r="E82" s="3" t="s">
        <v>243</v>
      </c>
      <c r="F82" s="2">
        <v>43807</v>
      </c>
      <c r="G82">
        <v>4</v>
      </c>
      <c r="H82" s="6">
        <v>43810</v>
      </c>
      <c r="I82" s="6">
        <v>43824</v>
      </c>
      <c r="J82">
        <f>Table1[[#This Row],[Incubation_start_date]]-Table1[[#This Row],[First_egg_lay_date]]</f>
        <v>3</v>
      </c>
      <c r="K82" s="5">
        <f>Table1[[#This Row],[Hatch_date]]-Table1[[#This Row],[Incubation_start_date]]</f>
        <v>14</v>
      </c>
      <c r="L82" s="5">
        <v>0</v>
      </c>
    </row>
    <row r="83" spans="1:12" x14ac:dyDescent="0.35">
      <c r="A83" s="1" t="s">
        <v>52</v>
      </c>
      <c r="B83" t="s">
        <v>9</v>
      </c>
      <c r="C83" s="5">
        <v>1</v>
      </c>
      <c r="D83" s="3" t="s">
        <v>141</v>
      </c>
      <c r="E83" s="3" t="s">
        <v>218</v>
      </c>
      <c r="F83" s="2">
        <v>43789</v>
      </c>
      <c r="G83">
        <v>4</v>
      </c>
      <c r="H83" s="6">
        <v>43792</v>
      </c>
      <c r="I83" s="6">
        <v>43807</v>
      </c>
      <c r="J83">
        <f>Table1[[#This Row],[Incubation_start_date]]-Table1[[#This Row],[First_egg_lay_date]]</f>
        <v>3</v>
      </c>
      <c r="K83" s="5">
        <f>Table1[[#This Row],[Hatch_date]]-Table1[[#This Row],[Incubation_start_date]]</f>
        <v>15</v>
      </c>
      <c r="L83" s="5">
        <v>0</v>
      </c>
    </row>
    <row r="84" spans="1:12" x14ac:dyDescent="0.35">
      <c r="A84" s="1" t="s">
        <v>98</v>
      </c>
      <c r="B84" t="s">
        <v>9</v>
      </c>
      <c r="C84" s="5">
        <v>2</v>
      </c>
      <c r="D84" s="3" t="s">
        <v>125</v>
      </c>
      <c r="E84" s="3" t="s">
        <v>202</v>
      </c>
      <c r="F84" s="2">
        <v>43830</v>
      </c>
      <c r="G84">
        <v>4</v>
      </c>
      <c r="H84" s="6">
        <v>43833</v>
      </c>
      <c r="I84" s="6">
        <v>43847</v>
      </c>
      <c r="J84">
        <f>Table1[[#This Row],[Incubation_start_date]]-Table1[[#This Row],[First_egg_lay_date]]</f>
        <v>3</v>
      </c>
      <c r="K84" s="5">
        <f>Table1[[#This Row],[Hatch_date]]-Table1[[#This Row],[Incubation_start_date]]</f>
        <v>14</v>
      </c>
      <c r="L84" s="5">
        <v>0</v>
      </c>
    </row>
    <row r="85" spans="1:12" x14ac:dyDescent="0.35">
      <c r="A85" s="1" t="s">
        <v>36</v>
      </c>
      <c r="B85" t="s">
        <v>9</v>
      </c>
      <c r="C85" s="5">
        <v>1</v>
      </c>
      <c r="D85" s="3" t="s">
        <v>125</v>
      </c>
      <c r="E85" s="3" t="s">
        <v>202</v>
      </c>
      <c r="F85" s="2">
        <v>43779</v>
      </c>
      <c r="G85">
        <v>5</v>
      </c>
      <c r="H85" s="6">
        <v>43783</v>
      </c>
      <c r="I85" s="6">
        <v>43797</v>
      </c>
      <c r="J85">
        <f>Table1[[#This Row],[Incubation_start_date]]-Table1[[#This Row],[First_egg_lay_date]]</f>
        <v>4</v>
      </c>
      <c r="K85" s="5">
        <f>Table1[[#This Row],[Hatch_date]]-Table1[[#This Row],[Incubation_start_date]]</f>
        <v>14</v>
      </c>
      <c r="L85" s="5">
        <v>0</v>
      </c>
    </row>
    <row r="86" spans="1:12" x14ac:dyDescent="0.35">
      <c r="A86" s="1" t="s">
        <v>88</v>
      </c>
      <c r="B86" t="s">
        <v>9</v>
      </c>
      <c r="C86" s="5">
        <v>2</v>
      </c>
      <c r="D86" s="3" t="s">
        <v>102</v>
      </c>
      <c r="E86" s="3" t="s">
        <v>179</v>
      </c>
      <c r="F86" s="2">
        <v>43810</v>
      </c>
      <c r="G86">
        <v>4</v>
      </c>
      <c r="H86" s="6">
        <v>43813</v>
      </c>
      <c r="I86" s="6">
        <v>43827</v>
      </c>
      <c r="J86">
        <f>Table1[[#This Row],[Incubation_start_date]]-Table1[[#This Row],[First_egg_lay_date]]</f>
        <v>3</v>
      </c>
      <c r="K86" s="5">
        <f>Table1[[#This Row],[Hatch_date]]-Table1[[#This Row],[Incubation_start_date]]</f>
        <v>14</v>
      </c>
      <c r="L86" s="5">
        <v>0</v>
      </c>
    </row>
    <row r="87" spans="1:12" x14ac:dyDescent="0.35">
      <c r="A87" s="1" t="s">
        <v>13</v>
      </c>
      <c r="B87" t="s">
        <v>9</v>
      </c>
      <c r="C87" s="5">
        <v>1</v>
      </c>
      <c r="D87" s="3" t="s">
        <v>102</v>
      </c>
      <c r="E87" s="3" t="s">
        <v>179</v>
      </c>
      <c r="F87" s="2">
        <v>43769</v>
      </c>
      <c r="G87">
        <v>4</v>
      </c>
      <c r="H87" s="6">
        <v>43772</v>
      </c>
      <c r="I87" s="6">
        <v>43786</v>
      </c>
      <c r="J87">
        <f>Table1[[#This Row],[Incubation_start_date]]-Table1[[#This Row],[First_egg_lay_date]]</f>
        <v>3</v>
      </c>
      <c r="K87" s="5">
        <f>Table1[[#This Row],[Hatch_date]]-Table1[[#This Row],[Incubation_start_date]]</f>
        <v>14</v>
      </c>
      <c r="L87" s="5">
        <v>0</v>
      </c>
    </row>
    <row r="88" spans="1:12" x14ac:dyDescent="0.35">
      <c r="A88" s="1" t="s">
        <v>94</v>
      </c>
      <c r="B88" t="s">
        <v>9</v>
      </c>
      <c r="C88" s="5" t="s">
        <v>252</v>
      </c>
      <c r="D88" s="3" t="s">
        <v>142</v>
      </c>
      <c r="E88" s="3" t="s">
        <v>251</v>
      </c>
      <c r="F88" s="2">
        <v>43818</v>
      </c>
      <c r="G88">
        <v>4</v>
      </c>
      <c r="H88" s="6">
        <v>43821</v>
      </c>
      <c r="I88" s="6">
        <v>43835</v>
      </c>
      <c r="J88">
        <f>Table1[[#This Row],[Incubation_start_date]]-Table1[[#This Row],[First_egg_lay_date]]</f>
        <v>3</v>
      </c>
      <c r="K88" s="5">
        <f>Table1[[#This Row],[Hatch_date]]-Table1[[#This Row],[Incubation_start_date]]</f>
        <v>14</v>
      </c>
      <c r="L88" s="5">
        <v>0</v>
      </c>
    </row>
    <row r="89" spans="1:12" x14ac:dyDescent="0.35">
      <c r="A89" s="1" t="s">
        <v>21</v>
      </c>
      <c r="B89" t="s">
        <v>9</v>
      </c>
      <c r="C89" s="5">
        <v>1</v>
      </c>
      <c r="D89" s="3" t="s">
        <v>110</v>
      </c>
      <c r="E89" s="3" t="s">
        <v>187</v>
      </c>
      <c r="F89" s="2">
        <v>43772</v>
      </c>
      <c r="G89">
        <v>4</v>
      </c>
      <c r="H89" s="6">
        <v>43775</v>
      </c>
      <c r="I89" s="6">
        <v>43789</v>
      </c>
      <c r="J89">
        <f>Table1[[#This Row],[Incubation_start_date]]-Table1[[#This Row],[First_egg_lay_date]]</f>
        <v>3</v>
      </c>
      <c r="K89" s="5">
        <f>Table1[[#This Row],[Hatch_date]]-Table1[[#This Row],[Incubation_start_date]]</f>
        <v>14</v>
      </c>
      <c r="L89" s="5">
        <v>0</v>
      </c>
    </row>
    <row r="90" spans="1:12" x14ac:dyDescent="0.35">
      <c r="A90" s="1" t="s">
        <v>74</v>
      </c>
      <c r="B90" t="s">
        <v>9</v>
      </c>
      <c r="C90" s="5">
        <v>1</v>
      </c>
      <c r="D90" s="3" t="s">
        <v>163</v>
      </c>
      <c r="E90" s="3" t="s">
        <v>239</v>
      </c>
      <c r="F90" s="2">
        <v>43805</v>
      </c>
      <c r="G90">
        <v>4</v>
      </c>
      <c r="H90" s="6">
        <v>43808</v>
      </c>
      <c r="I90" s="6">
        <v>43823</v>
      </c>
      <c r="J90">
        <f>Table1[[#This Row],[Incubation_start_date]]-Table1[[#This Row],[First_egg_lay_date]]</f>
        <v>3</v>
      </c>
      <c r="K90" s="5">
        <f>Table1[[#This Row],[Hatch_date]]-Table1[[#This Row],[Incubation_start_date]]</f>
        <v>15</v>
      </c>
      <c r="L90" s="5">
        <v>0</v>
      </c>
    </row>
    <row r="91" spans="1:12" x14ac:dyDescent="0.35">
      <c r="A91" s="1" t="s">
        <v>62</v>
      </c>
      <c r="B91" t="s">
        <v>9</v>
      </c>
      <c r="C91" s="5">
        <v>1</v>
      </c>
      <c r="D91" s="3" t="s">
        <v>151</v>
      </c>
      <c r="E91" s="3" t="s">
        <v>227</v>
      </c>
      <c r="F91" s="2">
        <v>43795</v>
      </c>
      <c r="G91">
        <v>3</v>
      </c>
      <c r="H91" s="6">
        <v>43797</v>
      </c>
      <c r="I91" s="6">
        <v>43812</v>
      </c>
      <c r="J91">
        <f>Table1[[#This Row],[Incubation_start_date]]-Table1[[#This Row],[First_egg_lay_date]]</f>
        <v>2</v>
      </c>
      <c r="K91" s="5">
        <f>Table1[[#This Row],[Hatch_date]]-Table1[[#This Row],[Incubation_start_date]]</f>
        <v>15</v>
      </c>
      <c r="L91" s="5">
        <v>0</v>
      </c>
    </row>
    <row r="92" spans="1:12" x14ac:dyDescent="0.35">
      <c r="A92" s="1" t="s">
        <v>24</v>
      </c>
      <c r="B92" t="s">
        <v>9</v>
      </c>
      <c r="C92" s="5">
        <v>1</v>
      </c>
      <c r="D92" s="3" t="s">
        <v>113</v>
      </c>
      <c r="E92" s="3" t="s">
        <v>190</v>
      </c>
      <c r="F92" s="2">
        <v>43774</v>
      </c>
      <c r="G92">
        <v>5</v>
      </c>
      <c r="H92" s="6">
        <v>43778</v>
      </c>
      <c r="I92" s="6">
        <v>43792</v>
      </c>
      <c r="J92">
        <f>Table1[[#This Row],[Incubation_start_date]]-Table1[[#This Row],[First_egg_lay_date]]</f>
        <v>4</v>
      </c>
      <c r="K92" s="5">
        <f>Table1[[#This Row],[Hatch_date]]-Table1[[#This Row],[Incubation_start_date]]</f>
        <v>14</v>
      </c>
      <c r="L92" s="5">
        <v>0</v>
      </c>
    </row>
    <row r="93" spans="1:12" x14ac:dyDescent="0.35">
      <c r="A93" s="1" t="s">
        <v>97</v>
      </c>
      <c r="B93" t="s">
        <v>9</v>
      </c>
      <c r="C93" s="5">
        <v>2</v>
      </c>
      <c r="D93" s="3" t="s">
        <v>113</v>
      </c>
      <c r="E93" s="3" t="s">
        <v>190</v>
      </c>
      <c r="F93" s="2">
        <v>43825</v>
      </c>
      <c r="G93">
        <v>4</v>
      </c>
      <c r="H93" s="6">
        <v>43828</v>
      </c>
      <c r="I93" s="6">
        <v>43842</v>
      </c>
      <c r="J93">
        <f>Table1[[#This Row],[Incubation_start_date]]-Table1[[#This Row],[First_egg_lay_date]]</f>
        <v>3</v>
      </c>
      <c r="K93" s="5">
        <f>Table1[[#This Row],[Hatch_date]]-Table1[[#This Row],[Incubation_start_date]]</f>
        <v>14</v>
      </c>
      <c r="L93" s="5">
        <v>0</v>
      </c>
    </row>
    <row r="94" spans="1:12" x14ac:dyDescent="0.35">
      <c r="A94" s="1" t="s">
        <v>91</v>
      </c>
      <c r="B94" t="s">
        <v>9</v>
      </c>
      <c r="C94" s="5">
        <v>1</v>
      </c>
      <c r="D94" s="3" t="s">
        <v>175</v>
      </c>
      <c r="E94" s="3" t="s">
        <v>250</v>
      </c>
      <c r="F94" s="2">
        <v>43812</v>
      </c>
      <c r="G94">
        <v>3</v>
      </c>
      <c r="H94" s="6">
        <v>43814</v>
      </c>
      <c r="I94" s="6">
        <v>43828</v>
      </c>
      <c r="J94">
        <f>Table1[[#This Row],[Incubation_start_date]]-Table1[[#This Row],[First_egg_lay_date]]</f>
        <v>2</v>
      </c>
      <c r="K94" s="5">
        <f>Table1[[#This Row],[Hatch_date]]-Table1[[#This Row],[Incubation_start_date]]</f>
        <v>14</v>
      </c>
      <c r="L94" s="5">
        <v>0</v>
      </c>
    </row>
    <row r="95" spans="1:12" x14ac:dyDescent="0.35">
      <c r="A95" s="1" t="s">
        <v>50</v>
      </c>
      <c r="B95" t="s">
        <v>9</v>
      </c>
      <c r="C95" s="5">
        <v>1</v>
      </c>
      <c r="D95" s="3" t="s">
        <v>139</v>
      </c>
      <c r="E95" s="3" t="s">
        <v>216</v>
      </c>
      <c r="F95" s="2">
        <v>43786</v>
      </c>
      <c r="G95">
        <v>4</v>
      </c>
      <c r="H95" s="6">
        <v>43790</v>
      </c>
      <c r="I95" s="6" t="s">
        <v>254</v>
      </c>
      <c r="J95">
        <f>Table1[[#This Row],[Incubation_start_date]]-Table1[[#This Row],[First_egg_lay_date]]</f>
        <v>4</v>
      </c>
      <c r="K95" s="5" t="s">
        <v>254</v>
      </c>
      <c r="L95" s="5">
        <v>1</v>
      </c>
    </row>
    <row r="96" spans="1:12" x14ac:dyDescent="0.35">
      <c r="A96" s="1" t="s">
        <v>23</v>
      </c>
      <c r="B96" t="s">
        <v>9</v>
      </c>
      <c r="C96" s="5">
        <v>1</v>
      </c>
      <c r="D96" s="3" t="s">
        <v>112</v>
      </c>
      <c r="E96" s="3" t="s">
        <v>189</v>
      </c>
      <c r="F96" s="2">
        <v>43774</v>
      </c>
      <c r="G96">
        <v>4</v>
      </c>
      <c r="H96" s="6" t="s">
        <v>254</v>
      </c>
      <c r="I96" s="6" t="s">
        <v>254</v>
      </c>
      <c r="K96" s="5" t="s">
        <v>254</v>
      </c>
      <c r="L96" s="5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B0A0-46E9-4243-B813-2ABE2E2162B7}">
  <dimension ref="A1:H1"/>
  <sheetViews>
    <sheetView workbookViewId="0">
      <selection activeCell="I13" sqref="I13"/>
    </sheetView>
  </sheetViews>
  <sheetFormatPr defaultRowHeight="14.5" x14ac:dyDescent="0.35"/>
  <cols>
    <col min="1" max="1" width="14.6328125" bestFit="1" customWidth="1"/>
    <col min="2" max="2" width="4.6328125" bestFit="1" customWidth="1"/>
    <col min="3" max="3" width="9.54296875" bestFit="1" customWidth="1"/>
    <col min="4" max="4" width="8.54296875" bestFit="1" customWidth="1"/>
    <col min="5" max="5" width="19.81640625" bestFit="1" customWidth="1"/>
    <col min="6" max="6" width="19.90625" bestFit="1" customWidth="1"/>
    <col min="7" max="7" width="16.54296875" bestFit="1" customWidth="1"/>
    <col min="8" max="8" width="16.6328125" bestFit="1" customWidth="1"/>
  </cols>
  <sheetData>
    <row r="1" spans="1:8" x14ac:dyDescent="0.35">
      <c r="A1" s="10" t="s">
        <v>5</v>
      </c>
      <c r="B1" s="10" t="s">
        <v>274</v>
      </c>
      <c r="C1" s="10" t="s">
        <v>275</v>
      </c>
      <c r="D1" s="10" t="s">
        <v>276</v>
      </c>
      <c r="E1" s="10" t="s">
        <v>277</v>
      </c>
      <c r="F1" s="10" t="s">
        <v>278</v>
      </c>
      <c r="G1" s="10" t="s">
        <v>279</v>
      </c>
      <c r="H1" s="10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F755-8940-470D-8366-7DB8539AC965}">
  <dimension ref="A1:I29"/>
  <sheetViews>
    <sheetView zoomScaleNormal="100" workbookViewId="0">
      <selection activeCell="C13" sqref="C13"/>
    </sheetView>
  </sheetViews>
  <sheetFormatPr defaultRowHeight="14.5" x14ac:dyDescent="0.35"/>
  <cols>
    <col min="1" max="1" width="25.90625" style="8" bestFit="1" customWidth="1"/>
    <col min="2" max="2" width="26.26953125" bestFit="1" customWidth="1"/>
    <col min="3" max="3" width="36.81640625" style="8" bestFit="1" customWidth="1"/>
    <col min="6" max="6" width="18.453125" bestFit="1" customWidth="1"/>
    <col min="9" max="9" width="8.7265625" style="8"/>
  </cols>
  <sheetData>
    <row r="1" spans="1:9" x14ac:dyDescent="0.35">
      <c r="A1" s="70" t="s">
        <v>255</v>
      </c>
      <c r="B1" s="72" t="s">
        <v>256</v>
      </c>
      <c r="C1" s="73"/>
      <c r="D1" s="73" t="s">
        <v>259</v>
      </c>
      <c r="E1" s="73"/>
      <c r="F1" s="73"/>
      <c r="G1" s="73"/>
      <c r="H1" s="73"/>
      <c r="I1" s="73"/>
    </row>
    <row r="2" spans="1:9" x14ac:dyDescent="0.35">
      <c r="A2" s="71"/>
      <c r="B2" s="7" t="s">
        <v>257</v>
      </c>
      <c r="C2" s="9" t="s">
        <v>258</v>
      </c>
      <c r="D2" s="7" t="s">
        <v>260</v>
      </c>
      <c r="E2" s="7" t="s">
        <v>261</v>
      </c>
      <c r="F2" s="7" t="s">
        <v>262</v>
      </c>
      <c r="G2" s="7" t="s">
        <v>264</v>
      </c>
      <c r="H2" s="7" t="s">
        <v>265</v>
      </c>
      <c r="I2" s="9" t="s">
        <v>263</v>
      </c>
    </row>
    <row r="3" spans="1:9" x14ac:dyDescent="0.35">
      <c r="A3" s="8" t="s">
        <v>266</v>
      </c>
      <c r="B3" t="s">
        <v>254</v>
      </c>
      <c r="C3" s="8" t="s">
        <v>270</v>
      </c>
      <c r="D3">
        <v>3.821053</v>
      </c>
      <c r="E3">
        <v>4</v>
      </c>
      <c r="F3">
        <v>4</v>
      </c>
      <c r="G3">
        <f>(5-1)</f>
        <v>4</v>
      </c>
      <c r="H3">
        <v>0.66810219999999998</v>
      </c>
      <c r="I3" s="8">
        <v>0.4463606</v>
      </c>
    </row>
    <row r="4" spans="1:9" x14ac:dyDescent="0.35">
      <c r="A4" s="8" t="s">
        <v>267</v>
      </c>
      <c r="B4" t="s">
        <v>254</v>
      </c>
      <c r="C4" s="8" t="s">
        <v>270</v>
      </c>
      <c r="D4">
        <v>2.946809</v>
      </c>
      <c r="E4">
        <v>3</v>
      </c>
      <c r="F4">
        <v>3</v>
      </c>
      <c r="G4">
        <f>(4-2)</f>
        <v>2</v>
      </c>
      <c r="H4">
        <v>0.73859819999999998</v>
      </c>
      <c r="I4" s="8">
        <v>0.54552730000000005</v>
      </c>
    </row>
    <row r="5" spans="1:9" x14ac:dyDescent="0.35">
      <c r="A5" s="8" t="s">
        <v>268</v>
      </c>
      <c r="B5" t="s">
        <v>254</v>
      </c>
      <c r="C5" s="8" t="s">
        <v>271</v>
      </c>
      <c r="D5">
        <v>14.43182</v>
      </c>
      <c r="E5">
        <v>14</v>
      </c>
      <c r="F5">
        <v>14</v>
      </c>
      <c r="G5">
        <f>(16-14)</f>
        <v>2</v>
      </c>
      <c r="H5">
        <v>0.58320269999999996</v>
      </c>
      <c r="I5" s="8">
        <v>0.34012540000000002</v>
      </c>
    </row>
    <row r="6" spans="1:9" x14ac:dyDescent="0.35">
      <c r="A6" s="8" t="s">
        <v>269</v>
      </c>
      <c r="B6" t="s">
        <v>254</v>
      </c>
      <c r="C6" s="8" t="s">
        <v>281</v>
      </c>
      <c r="F6">
        <v>0</v>
      </c>
    </row>
    <row r="8" spans="1:9" x14ac:dyDescent="0.35">
      <c r="A8" s="8" t="s">
        <v>2</v>
      </c>
      <c r="B8" t="s">
        <v>368</v>
      </c>
      <c r="C8" s="8" t="s">
        <v>254</v>
      </c>
    </row>
    <row r="9" spans="1:9" x14ac:dyDescent="0.35">
      <c r="A9" s="8" t="s">
        <v>283</v>
      </c>
      <c r="B9" t="s">
        <v>368</v>
      </c>
      <c r="C9" s="8" t="s">
        <v>254</v>
      </c>
    </row>
    <row r="10" spans="1:9" x14ac:dyDescent="0.35">
      <c r="A10" s="8" t="s">
        <v>1</v>
      </c>
      <c r="B10" t="s">
        <v>368</v>
      </c>
      <c r="C10" s="8" t="s">
        <v>254</v>
      </c>
    </row>
    <row r="11" spans="1:9" x14ac:dyDescent="0.35">
      <c r="A11" s="8" t="s">
        <v>312</v>
      </c>
      <c r="B11" t="s">
        <v>254</v>
      </c>
      <c r="C11" s="8" t="s">
        <v>270</v>
      </c>
    </row>
    <row r="12" spans="1:9" x14ac:dyDescent="0.35">
      <c r="A12" s="8" t="s">
        <v>315</v>
      </c>
    </row>
    <row r="13" spans="1:9" x14ac:dyDescent="0.35">
      <c r="A13" s="8" t="s">
        <v>313</v>
      </c>
      <c r="B13" t="s">
        <v>316</v>
      </c>
      <c r="C13" s="8" t="s">
        <v>254</v>
      </c>
    </row>
    <row r="14" spans="1:9" x14ac:dyDescent="0.35">
      <c r="A14" s="8" t="s">
        <v>314</v>
      </c>
      <c r="B14" t="s">
        <v>317</v>
      </c>
      <c r="C14" s="8" t="s">
        <v>254</v>
      </c>
    </row>
    <row r="15" spans="1:9" x14ac:dyDescent="0.35">
      <c r="A15" s="8" t="s">
        <v>359</v>
      </c>
    </row>
    <row r="16" spans="1:9" x14ac:dyDescent="0.35">
      <c r="A16" s="8" t="s">
        <v>363</v>
      </c>
    </row>
    <row r="18" spans="1:9" x14ac:dyDescent="0.35">
      <c r="A18" s="8" t="s">
        <v>364</v>
      </c>
    </row>
    <row r="19" spans="1:9" x14ac:dyDescent="0.35">
      <c r="A19" s="8" t="s">
        <v>365</v>
      </c>
      <c r="B19" t="s">
        <v>285</v>
      </c>
      <c r="C19" s="8" t="s">
        <v>254</v>
      </c>
      <c r="D19">
        <v>13.188890000000001</v>
      </c>
      <c r="E19">
        <v>13.55</v>
      </c>
      <c r="F19" t="s">
        <v>286</v>
      </c>
      <c r="G19">
        <v>12.1</v>
      </c>
      <c r="H19">
        <v>2.937713</v>
      </c>
      <c r="I19" s="8">
        <v>8.6301550000000002</v>
      </c>
    </row>
    <row r="20" spans="1:9" x14ac:dyDescent="0.35">
      <c r="A20" s="8" t="s">
        <v>366</v>
      </c>
      <c r="B20" t="s">
        <v>289</v>
      </c>
      <c r="C20" s="8" t="s">
        <v>254</v>
      </c>
      <c r="D20">
        <v>20.385000000000002</v>
      </c>
      <c r="E20">
        <v>20.85</v>
      </c>
      <c r="F20" t="s">
        <v>287</v>
      </c>
      <c r="G20">
        <v>14.2</v>
      </c>
      <c r="H20">
        <v>3.5182440000000001</v>
      </c>
      <c r="I20" s="8">
        <v>12.37804</v>
      </c>
    </row>
    <row r="21" spans="1:9" x14ac:dyDescent="0.35">
      <c r="A21" s="8" t="s">
        <v>367</v>
      </c>
      <c r="B21" t="s">
        <v>290</v>
      </c>
      <c r="C21" s="8" t="s">
        <v>254</v>
      </c>
      <c r="D21">
        <v>16.366720000000001</v>
      </c>
      <c r="E21">
        <v>16.734999999999999</v>
      </c>
      <c r="F21" t="s">
        <v>288</v>
      </c>
      <c r="G21">
        <v>12.1</v>
      </c>
      <c r="H21">
        <v>3.1402429999999999</v>
      </c>
      <c r="I21" s="8">
        <v>9.8611249999999995</v>
      </c>
    </row>
    <row r="23" spans="1:9" x14ac:dyDescent="0.35">
      <c r="A23" s="8" t="s">
        <v>291</v>
      </c>
      <c r="B23" t="s">
        <v>292</v>
      </c>
      <c r="C23" s="8" t="s">
        <v>254</v>
      </c>
      <c r="D23">
        <v>17.767309999999998</v>
      </c>
      <c r="E23">
        <v>17.596</v>
      </c>
      <c r="F23" t="s">
        <v>293</v>
      </c>
      <c r="G23">
        <v>34.97</v>
      </c>
      <c r="H23">
        <v>3.1511040000000001</v>
      </c>
      <c r="I23" s="8">
        <v>9.9294589999999996</v>
      </c>
    </row>
    <row r="24" spans="1:9" x14ac:dyDescent="0.35">
      <c r="A24" s="8" t="s">
        <v>294</v>
      </c>
      <c r="B24" t="s">
        <v>254</v>
      </c>
      <c r="C24" s="8" t="s">
        <v>299</v>
      </c>
      <c r="F24" t="s">
        <v>303</v>
      </c>
      <c r="G24" t="s">
        <v>304</v>
      </c>
    </row>
    <row r="25" spans="1:9" x14ac:dyDescent="0.35">
      <c r="A25" s="8" t="s">
        <v>295</v>
      </c>
      <c r="B25" t="s">
        <v>254</v>
      </c>
      <c r="C25" s="8" t="s">
        <v>300</v>
      </c>
      <c r="F25" t="s">
        <v>306</v>
      </c>
      <c r="G25" t="s">
        <v>305</v>
      </c>
    </row>
    <row r="26" spans="1:9" x14ac:dyDescent="0.35">
      <c r="A26" s="8" t="s">
        <v>296</v>
      </c>
      <c r="B26" t="s">
        <v>254</v>
      </c>
      <c r="C26" s="8" t="s">
        <v>301</v>
      </c>
      <c r="F26" t="s">
        <v>254</v>
      </c>
      <c r="G26" t="s">
        <v>307</v>
      </c>
    </row>
    <row r="27" spans="1:9" x14ac:dyDescent="0.35">
      <c r="A27" s="8" t="s">
        <v>297</v>
      </c>
      <c r="B27" t="s">
        <v>254</v>
      </c>
      <c r="C27" s="8" t="s">
        <v>302</v>
      </c>
      <c r="F27" t="s">
        <v>254</v>
      </c>
      <c r="G27" t="s">
        <v>308</v>
      </c>
    </row>
    <row r="28" spans="1:9" x14ac:dyDescent="0.35">
      <c r="A28" s="8" t="s">
        <v>298</v>
      </c>
    </row>
    <row r="29" spans="1:9" x14ac:dyDescent="0.35">
      <c r="A29" s="8" t="s">
        <v>282</v>
      </c>
    </row>
  </sheetData>
  <mergeCells count="3">
    <mergeCell ref="A1:A2"/>
    <mergeCell ref="B1:C1"/>
    <mergeCell ref="D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A7F8-7A90-4B4B-99E5-B6650A599F43}">
  <dimension ref="A1:G181"/>
  <sheetViews>
    <sheetView workbookViewId="0">
      <selection activeCell="J15" sqref="J15"/>
    </sheetView>
  </sheetViews>
  <sheetFormatPr defaultRowHeight="14.5" x14ac:dyDescent="0.35"/>
  <cols>
    <col min="2" max="2" width="10.08984375" style="11" bestFit="1" customWidth="1"/>
  </cols>
  <sheetData>
    <row r="1" spans="1:7" x14ac:dyDescent="0.35">
      <c r="A1" t="s">
        <v>324</v>
      </c>
      <c r="B1" s="11" t="s">
        <v>325</v>
      </c>
      <c r="C1" t="s">
        <v>326</v>
      </c>
      <c r="D1" t="s">
        <v>327</v>
      </c>
      <c r="E1" t="s">
        <v>328</v>
      </c>
      <c r="F1" t="s">
        <v>329</v>
      </c>
      <c r="G1" s="14" t="s">
        <v>330</v>
      </c>
    </row>
    <row r="2" spans="1:7" x14ac:dyDescent="0.35">
      <c r="A2" t="s">
        <v>331</v>
      </c>
      <c r="B2" s="11">
        <v>43709</v>
      </c>
      <c r="C2">
        <v>9</v>
      </c>
      <c r="D2">
        <v>15</v>
      </c>
      <c r="E2">
        <v>24</v>
      </c>
      <c r="F2">
        <v>8.9</v>
      </c>
      <c r="G2" s="14">
        <f t="shared" ref="G2:G65" si="0">GEOMEAN(D2,F2)</f>
        <v>11.554220008291342</v>
      </c>
    </row>
    <row r="3" spans="1:7" x14ac:dyDescent="0.35">
      <c r="A3" t="s">
        <v>331</v>
      </c>
      <c r="B3" s="11">
        <v>43710</v>
      </c>
      <c r="C3">
        <v>9</v>
      </c>
      <c r="D3">
        <v>14.5</v>
      </c>
      <c r="E3">
        <v>24</v>
      </c>
      <c r="F3">
        <v>9.4</v>
      </c>
      <c r="G3" s="14">
        <f t="shared" si="0"/>
        <v>11.674759098157015</v>
      </c>
    </row>
    <row r="4" spans="1:7" x14ac:dyDescent="0.35">
      <c r="A4" t="s">
        <v>331</v>
      </c>
      <c r="B4" s="11">
        <v>43711</v>
      </c>
      <c r="C4">
        <v>9</v>
      </c>
      <c r="D4">
        <v>14.6</v>
      </c>
      <c r="E4">
        <v>24</v>
      </c>
      <c r="F4">
        <v>10.4</v>
      </c>
      <c r="G4" s="14">
        <f t="shared" si="0"/>
        <v>12.32233744059949</v>
      </c>
    </row>
    <row r="5" spans="1:7" x14ac:dyDescent="0.35">
      <c r="A5" t="s">
        <v>331</v>
      </c>
      <c r="B5" s="11">
        <v>43712</v>
      </c>
      <c r="C5">
        <v>9</v>
      </c>
      <c r="D5">
        <v>15.2</v>
      </c>
      <c r="E5">
        <v>24</v>
      </c>
      <c r="F5">
        <v>12.2</v>
      </c>
      <c r="G5" s="14">
        <f t="shared" si="0"/>
        <v>13.617635624439361</v>
      </c>
    </row>
    <row r="6" spans="1:7" x14ac:dyDescent="0.35">
      <c r="A6" t="s">
        <v>331</v>
      </c>
      <c r="B6" s="11">
        <v>43713</v>
      </c>
      <c r="C6">
        <v>9</v>
      </c>
      <c r="D6">
        <v>15.8</v>
      </c>
      <c r="E6">
        <v>24</v>
      </c>
      <c r="F6">
        <v>12.2</v>
      </c>
      <c r="G6" s="14">
        <f t="shared" si="0"/>
        <v>13.883803513446882</v>
      </c>
    </row>
    <row r="7" spans="1:7" x14ac:dyDescent="0.35">
      <c r="A7" t="s">
        <v>331</v>
      </c>
      <c r="B7" s="11">
        <v>43714</v>
      </c>
      <c r="C7">
        <v>9</v>
      </c>
      <c r="D7">
        <v>15.9</v>
      </c>
      <c r="E7">
        <v>24</v>
      </c>
      <c r="F7">
        <v>10.199999999999999</v>
      </c>
      <c r="G7" s="14">
        <f t="shared" si="0"/>
        <v>12.734991166074673</v>
      </c>
    </row>
    <row r="8" spans="1:7" x14ac:dyDescent="0.35">
      <c r="A8" t="s">
        <v>331</v>
      </c>
      <c r="B8" s="11">
        <v>43715</v>
      </c>
      <c r="C8">
        <v>9</v>
      </c>
      <c r="D8">
        <v>14.7</v>
      </c>
      <c r="E8">
        <v>24</v>
      </c>
      <c r="F8">
        <v>7.9</v>
      </c>
      <c r="G8" s="14">
        <f t="shared" si="0"/>
        <v>10.776363022838456</v>
      </c>
    </row>
    <row r="9" spans="1:7" x14ac:dyDescent="0.35">
      <c r="A9" t="s">
        <v>331</v>
      </c>
      <c r="B9" s="11">
        <v>43716</v>
      </c>
      <c r="C9">
        <v>9</v>
      </c>
      <c r="D9">
        <v>15.4</v>
      </c>
      <c r="E9">
        <v>24</v>
      </c>
      <c r="F9">
        <v>8.9</v>
      </c>
      <c r="G9" s="14">
        <f t="shared" si="0"/>
        <v>11.707262703125782</v>
      </c>
    </row>
    <row r="10" spans="1:7" x14ac:dyDescent="0.35">
      <c r="A10" t="s">
        <v>331</v>
      </c>
      <c r="B10" s="11">
        <v>43717</v>
      </c>
      <c r="C10">
        <v>9</v>
      </c>
      <c r="D10">
        <v>17.7</v>
      </c>
      <c r="E10">
        <v>24</v>
      </c>
      <c r="F10">
        <v>10.4</v>
      </c>
      <c r="G10" s="14">
        <f t="shared" si="0"/>
        <v>13.567608484917304</v>
      </c>
    </row>
    <row r="11" spans="1:7" x14ac:dyDescent="0.35">
      <c r="A11" t="s">
        <v>331</v>
      </c>
      <c r="B11" s="11">
        <v>43718</v>
      </c>
      <c r="C11">
        <v>9</v>
      </c>
      <c r="D11">
        <v>17.8</v>
      </c>
      <c r="E11">
        <v>24</v>
      </c>
      <c r="F11">
        <v>10.4</v>
      </c>
      <c r="G11" s="14">
        <f t="shared" si="0"/>
        <v>13.60588108135596</v>
      </c>
    </row>
    <row r="12" spans="1:7" x14ac:dyDescent="0.35">
      <c r="A12" t="s">
        <v>331</v>
      </c>
      <c r="B12" s="11">
        <v>43719</v>
      </c>
      <c r="C12">
        <v>9</v>
      </c>
      <c r="D12">
        <v>17.8</v>
      </c>
      <c r="E12">
        <v>24</v>
      </c>
      <c r="F12">
        <v>8.9</v>
      </c>
      <c r="G12" s="14">
        <f t="shared" si="0"/>
        <v>12.586500705120546</v>
      </c>
    </row>
    <row r="13" spans="1:7" x14ac:dyDescent="0.35">
      <c r="A13" t="s">
        <v>331</v>
      </c>
      <c r="B13" s="11">
        <v>43720</v>
      </c>
      <c r="C13">
        <v>9</v>
      </c>
      <c r="D13">
        <v>14.8</v>
      </c>
      <c r="E13">
        <v>24</v>
      </c>
      <c r="F13">
        <v>9.1999999999999993</v>
      </c>
      <c r="G13" s="14">
        <f t="shared" si="0"/>
        <v>11.668761716651858</v>
      </c>
    </row>
    <row r="14" spans="1:7" x14ac:dyDescent="0.35">
      <c r="A14" t="s">
        <v>331</v>
      </c>
      <c r="B14" s="11">
        <v>43721</v>
      </c>
      <c r="C14">
        <v>9</v>
      </c>
      <c r="D14">
        <v>15.9</v>
      </c>
      <c r="E14">
        <v>24</v>
      </c>
      <c r="F14">
        <v>9.4</v>
      </c>
      <c r="G14" s="14">
        <f t="shared" si="0"/>
        <v>12.225383429569806</v>
      </c>
    </row>
    <row r="15" spans="1:7" x14ac:dyDescent="0.35">
      <c r="A15" t="s">
        <v>331</v>
      </c>
      <c r="B15" s="11">
        <v>43722</v>
      </c>
      <c r="C15">
        <v>9</v>
      </c>
      <c r="D15">
        <v>16.3</v>
      </c>
      <c r="E15">
        <v>24</v>
      </c>
      <c r="F15">
        <v>10.1</v>
      </c>
      <c r="G15" s="14">
        <f t="shared" si="0"/>
        <v>12.830822265155104</v>
      </c>
    </row>
    <row r="16" spans="1:7" x14ac:dyDescent="0.35">
      <c r="A16" t="s">
        <v>331</v>
      </c>
      <c r="B16" s="11">
        <v>43723</v>
      </c>
      <c r="C16">
        <v>9</v>
      </c>
      <c r="D16">
        <v>15.6</v>
      </c>
      <c r="E16">
        <v>24</v>
      </c>
      <c r="F16">
        <v>8.6999999999999993</v>
      </c>
      <c r="G16" s="14">
        <f t="shared" si="0"/>
        <v>11.649892703368559</v>
      </c>
    </row>
    <row r="17" spans="1:7" x14ac:dyDescent="0.35">
      <c r="A17" t="s">
        <v>331</v>
      </c>
      <c r="B17" s="11">
        <v>43724</v>
      </c>
      <c r="C17">
        <v>9</v>
      </c>
      <c r="D17">
        <v>16.8</v>
      </c>
      <c r="E17">
        <v>24</v>
      </c>
      <c r="F17">
        <v>10.3</v>
      </c>
      <c r="G17" s="14">
        <f t="shared" si="0"/>
        <v>13.154466921924278</v>
      </c>
    </row>
    <row r="18" spans="1:7" x14ac:dyDescent="0.35">
      <c r="A18" t="s">
        <v>331</v>
      </c>
      <c r="B18" s="11">
        <v>43725</v>
      </c>
      <c r="C18">
        <v>9</v>
      </c>
      <c r="D18">
        <v>16.7</v>
      </c>
      <c r="E18">
        <v>24</v>
      </c>
      <c r="F18">
        <v>10.4</v>
      </c>
      <c r="G18" s="14">
        <f t="shared" si="0"/>
        <v>13.178770807628457</v>
      </c>
    </row>
    <row r="19" spans="1:7" x14ac:dyDescent="0.35">
      <c r="A19" t="s">
        <v>331</v>
      </c>
      <c r="B19" s="11">
        <v>43726</v>
      </c>
      <c r="C19">
        <v>9</v>
      </c>
      <c r="D19">
        <v>18</v>
      </c>
      <c r="E19">
        <v>24</v>
      </c>
      <c r="F19">
        <v>10.199999999999999</v>
      </c>
      <c r="G19" s="14">
        <f t="shared" si="0"/>
        <v>13.549907748763458</v>
      </c>
    </row>
    <row r="20" spans="1:7" x14ac:dyDescent="0.35">
      <c r="A20" t="s">
        <v>331</v>
      </c>
      <c r="B20" s="11">
        <v>43727</v>
      </c>
      <c r="C20">
        <v>9</v>
      </c>
      <c r="D20">
        <v>16.100000000000001</v>
      </c>
      <c r="E20">
        <v>24</v>
      </c>
      <c r="F20">
        <v>10.3</v>
      </c>
      <c r="G20" s="14">
        <f t="shared" si="0"/>
        <v>12.877499757328671</v>
      </c>
    </row>
    <row r="21" spans="1:7" x14ac:dyDescent="0.35">
      <c r="A21" t="s">
        <v>331</v>
      </c>
      <c r="B21" s="11">
        <v>43728</v>
      </c>
      <c r="C21">
        <v>9</v>
      </c>
      <c r="D21">
        <v>16.100000000000001</v>
      </c>
      <c r="E21">
        <v>24</v>
      </c>
      <c r="F21">
        <v>9.6</v>
      </c>
      <c r="G21" s="14">
        <f t="shared" si="0"/>
        <v>12.432216214336043</v>
      </c>
    </row>
    <row r="22" spans="1:7" x14ac:dyDescent="0.35">
      <c r="A22" t="s">
        <v>331</v>
      </c>
      <c r="B22" s="11">
        <v>43729</v>
      </c>
      <c r="C22">
        <v>9</v>
      </c>
      <c r="D22">
        <v>15.6</v>
      </c>
      <c r="E22">
        <v>24</v>
      </c>
      <c r="F22">
        <v>10.199999999999999</v>
      </c>
      <c r="G22" s="14">
        <f t="shared" si="0"/>
        <v>12.614277624977182</v>
      </c>
    </row>
    <row r="23" spans="1:7" x14ac:dyDescent="0.35">
      <c r="A23" t="s">
        <v>331</v>
      </c>
      <c r="B23" s="11">
        <v>43730</v>
      </c>
      <c r="C23">
        <v>9</v>
      </c>
      <c r="D23">
        <v>16.3</v>
      </c>
      <c r="E23">
        <v>24</v>
      </c>
      <c r="F23">
        <v>9.8000000000000007</v>
      </c>
      <c r="G23" s="14">
        <f t="shared" si="0"/>
        <v>12.638829059687453</v>
      </c>
    </row>
    <row r="24" spans="1:7" x14ac:dyDescent="0.35">
      <c r="A24" t="s">
        <v>331</v>
      </c>
      <c r="B24" s="11">
        <v>43731</v>
      </c>
      <c r="C24">
        <v>9</v>
      </c>
      <c r="D24">
        <v>16.7</v>
      </c>
      <c r="E24">
        <v>24</v>
      </c>
      <c r="F24">
        <v>9.1999999999999993</v>
      </c>
      <c r="G24" s="14">
        <f t="shared" si="0"/>
        <v>12.395160345876933</v>
      </c>
    </row>
    <row r="25" spans="1:7" x14ac:dyDescent="0.35">
      <c r="A25" t="s">
        <v>331</v>
      </c>
      <c r="B25" s="11">
        <v>43732</v>
      </c>
      <c r="C25">
        <v>9</v>
      </c>
      <c r="D25">
        <v>16.600000000000001</v>
      </c>
      <c r="E25">
        <v>24</v>
      </c>
      <c r="F25">
        <v>8.9</v>
      </c>
      <c r="G25" s="14">
        <f t="shared" si="0"/>
        <v>12.154834429147934</v>
      </c>
    </row>
    <row r="26" spans="1:7" x14ac:dyDescent="0.35">
      <c r="A26" t="s">
        <v>331</v>
      </c>
      <c r="B26" s="11">
        <v>43733</v>
      </c>
      <c r="C26">
        <v>9</v>
      </c>
      <c r="D26">
        <v>16.899999999999999</v>
      </c>
      <c r="E26">
        <v>24</v>
      </c>
      <c r="F26">
        <v>8.4</v>
      </c>
      <c r="G26" s="14">
        <f t="shared" si="0"/>
        <v>11.914696806885184</v>
      </c>
    </row>
    <row r="27" spans="1:7" x14ac:dyDescent="0.35">
      <c r="A27" t="s">
        <v>331</v>
      </c>
      <c r="B27" s="11">
        <v>43734</v>
      </c>
      <c r="C27">
        <v>9</v>
      </c>
      <c r="D27">
        <v>16.899999999999999</v>
      </c>
      <c r="E27">
        <v>24</v>
      </c>
      <c r="F27">
        <v>7.6</v>
      </c>
      <c r="G27" s="14">
        <f t="shared" si="0"/>
        <v>11.33313725320575</v>
      </c>
    </row>
    <row r="28" spans="1:7" x14ac:dyDescent="0.35">
      <c r="A28" t="s">
        <v>331</v>
      </c>
      <c r="B28" s="11">
        <v>43735</v>
      </c>
      <c r="C28">
        <v>9</v>
      </c>
      <c r="D28">
        <v>16.899999999999999</v>
      </c>
      <c r="E28">
        <v>24</v>
      </c>
      <c r="F28">
        <v>7.4</v>
      </c>
      <c r="G28" s="14">
        <f t="shared" si="0"/>
        <v>11.183022847155415</v>
      </c>
    </row>
    <row r="29" spans="1:7" x14ac:dyDescent="0.35">
      <c r="A29" t="s">
        <v>331</v>
      </c>
      <c r="B29" s="11">
        <v>43736</v>
      </c>
      <c r="C29">
        <v>9</v>
      </c>
      <c r="D29">
        <v>17.100000000000001</v>
      </c>
      <c r="E29">
        <v>24</v>
      </c>
      <c r="F29">
        <v>7.4</v>
      </c>
      <c r="G29" s="14">
        <f t="shared" si="0"/>
        <v>11.248999955551605</v>
      </c>
    </row>
    <row r="30" spans="1:7" x14ac:dyDescent="0.35">
      <c r="A30" t="s">
        <v>331</v>
      </c>
      <c r="B30" s="11">
        <v>43737</v>
      </c>
      <c r="C30">
        <v>8</v>
      </c>
      <c r="D30">
        <v>16.600000000000001</v>
      </c>
      <c r="E30">
        <v>24</v>
      </c>
      <c r="F30">
        <v>9.5</v>
      </c>
      <c r="G30" s="14">
        <f t="shared" si="0"/>
        <v>12.557866060760484</v>
      </c>
    </row>
    <row r="31" spans="1:7" x14ac:dyDescent="0.35">
      <c r="A31" t="s">
        <v>331</v>
      </c>
      <c r="B31" s="11">
        <v>43738</v>
      </c>
      <c r="C31">
        <v>8</v>
      </c>
      <c r="D31">
        <v>18.8</v>
      </c>
      <c r="E31">
        <v>24</v>
      </c>
      <c r="F31">
        <v>9.4</v>
      </c>
      <c r="G31" s="14">
        <f t="shared" si="0"/>
        <v>13.293607486307094</v>
      </c>
    </row>
    <row r="32" spans="1:7" x14ac:dyDescent="0.35">
      <c r="A32" t="s">
        <v>331</v>
      </c>
      <c r="B32" s="11">
        <v>43739</v>
      </c>
      <c r="C32">
        <v>8</v>
      </c>
      <c r="D32">
        <v>18</v>
      </c>
      <c r="E32">
        <v>24</v>
      </c>
      <c r="F32">
        <v>10</v>
      </c>
      <c r="G32" s="14">
        <f t="shared" si="0"/>
        <v>13.416407864998737</v>
      </c>
    </row>
    <row r="33" spans="1:7" x14ac:dyDescent="0.35">
      <c r="A33" t="s">
        <v>331</v>
      </c>
      <c r="B33" s="11">
        <v>43740</v>
      </c>
      <c r="C33">
        <v>8</v>
      </c>
      <c r="D33">
        <v>15.8</v>
      </c>
      <c r="E33">
        <v>24</v>
      </c>
      <c r="F33">
        <v>7.2</v>
      </c>
      <c r="G33" s="14">
        <f t="shared" si="0"/>
        <v>10.665833300778706</v>
      </c>
    </row>
    <row r="34" spans="1:7" x14ac:dyDescent="0.35">
      <c r="A34" t="s">
        <v>331</v>
      </c>
      <c r="B34" s="11">
        <v>43741</v>
      </c>
      <c r="C34">
        <v>8</v>
      </c>
      <c r="D34">
        <v>14.8</v>
      </c>
      <c r="E34">
        <v>24</v>
      </c>
      <c r="F34">
        <v>8.1999999999999993</v>
      </c>
      <c r="G34" s="14">
        <f t="shared" si="0"/>
        <v>11.016351483136329</v>
      </c>
    </row>
    <row r="35" spans="1:7" x14ac:dyDescent="0.35">
      <c r="A35" t="s">
        <v>331</v>
      </c>
      <c r="B35" s="11">
        <v>43742</v>
      </c>
      <c r="C35">
        <v>8</v>
      </c>
      <c r="D35">
        <v>14.8</v>
      </c>
      <c r="E35">
        <v>24</v>
      </c>
      <c r="F35">
        <v>8.6</v>
      </c>
      <c r="G35" s="14">
        <f t="shared" si="0"/>
        <v>11.281843820936363</v>
      </c>
    </row>
    <row r="36" spans="1:7" x14ac:dyDescent="0.35">
      <c r="A36" t="s">
        <v>331</v>
      </c>
      <c r="B36" s="11">
        <v>43743</v>
      </c>
      <c r="C36">
        <v>8</v>
      </c>
      <c r="D36">
        <v>16.2</v>
      </c>
      <c r="E36">
        <v>24</v>
      </c>
      <c r="F36">
        <v>9.1</v>
      </c>
      <c r="G36" s="14">
        <f t="shared" si="0"/>
        <v>12.141663806908836</v>
      </c>
    </row>
    <row r="37" spans="1:7" x14ac:dyDescent="0.35">
      <c r="A37" t="s">
        <v>331</v>
      </c>
      <c r="B37" s="11">
        <v>43744</v>
      </c>
      <c r="C37">
        <v>8</v>
      </c>
      <c r="D37">
        <v>17.399999999999999</v>
      </c>
      <c r="E37">
        <v>24</v>
      </c>
      <c r="F37">
        <v>9.5</v>
      </c>
      <c r="G37" s="14">
        <f t="shared" si="0"/>
        <v>12.856904759700136</v>
      </c>
    </row>
    <row r="38" spans="1:7" x14ac:dyDescent="0.35">
      <c r="A38" t="s">
        <v>331</v>
      </c>
      <c r="B38" s="11">
        <v>43745</v>
      </c>
      <c r="C38">
        <v>8</v>
      </c>
      <c r="D38">
        <v>16.899999999999999</v>
      </c>
      <c r="E38">
        <v>24</v>
      </c>
      <c r="F38">
        <v>9.1</v>
      </c>
      <c r="G38" s="14">
        <f t="shared" si="0"/>
        <v>12.401209618420292</v>
      </c>
    </row>
    <row r="39" spans="1:7" x14ac:dyDescent="0.35">
      <c r="A39" t="s">
        <v>331</v>
      </c>
      <c r="B39" s="11">
        <v>43746</v>
      </c>
      <c r="C39">
        <v>8</v>
      </c>
      <c r="D39">
        <v>15.1</v>
      </c>
      <c r="E39">
        <v>24</v>
      </c>
      <c r="F39">
        <v>13.9</v>
      </c>
      <c r="G39" s="14">
        <f t="shared" si="0"/>
        <v>14.487580888471339</v>
      </c>
    </row>
    <row r="40" spans="1:7" x14ac:dyDescent="0.35">
      <c r="A40" t="s">
        <v>331</v>
      </c>
      <c r="B40" s="11">
        <v>43747</v>
      </c>
      <c r="C40">
        <v>8</v>
      </c>
      <c r="D40">
        <v>18.2</v>
      </c>
      <c r="E40">
        <v>24</v>
      </c>
      <c r="F40">
        <v>12.3</v>
      </c>
      <c r="G40" s="14">
        <f t="shared" si="0"/>
        <v>14.961951744341377</v>
      </c>
    </row>
    <row r="41" spans="1:7" x14ac:dyDescent="0.35">
      <c r="A41" t="s">
        <v>331</v>
      </c>
      <c r="B41" s="11">
        <v>43748</v>
      </c>
      <c r="C41">
        <v>8</v>
      </c>
      <c r="D41">
        <v>17.399999999999999</v>
      </c>
      <c r="E41">
        <v>24</v>
      </c>
      <c r="F41">
        <v>13.4</v>
      </c>
      <c r="G41" s="14">
        <f t="shared" si="0"/>
        <v>15.269577597301112</v>
      </c>
    </row>
    <row r="42" spans="1:7" x14ac:dyDescent="0.35">
      <c r="A42" t="s">
        <v>331</v>
      </c>
      <c r="B42" s="11">
        <v>43749</v>
      </c>
      <c r="C42">
        <v>8</v>
      </c>
      <c r="D42">
        <v>17.5</v>
      </c>
      <c r="E42">
        <v>24</v>
      </c>
      <c r="F42">
        <v>13.2</v>
      </c>
      <c r="G42" s="14">
        <f t="shared" si="0"/>
        <v>15.198684153570664</v>
      </c>
    </row>
    <row r="43" spans="1:7" x14ac:dyDescent="0.35">
      <c r="A43" t="s">
        <v>331</v>
      </c>
      <c r="B43" s="11">
        <v>43750</v>
      </c>
      <c r="C43">
        <v>8</v>
      </c>
      <c r="D43">
        <v>16.399999999999999</v>
      </c>
      <c r="E43">
        <v>24</v>
      </c>
      <c r="F43">
        <v>12.4</v>
      </c>
      <c r="G43" s="14">
        <f t="shared" si="0"/>
        <v>14.260434775980709</v>
      </c>
    </row>
    <row r="44" spans="1:7" x14ac:dyDescent="0.35">
      <c r="A44" t="s">
        <v>331</v>
      </c>
      <c r="B44" s="11">
        <v>43751</v>
      </c>
      <c r="C44">
        <v>8</v>
      </c>
      <c r="D44">
        <v>17.399999999999999</v>
      </c>
      <c r="E44">
        <v>24</v>
      </c>
      <c r="F44">
        <v>11.2</v>
      </c>
      <c r="G44" s="14">
        <f t="shared" si="0"/>
        <v>13.959942693292117</v>
      </c>
    </row>
    <row r="45" spans="1:7" x14ac:dyDescent="0.35">
      <c r="A45" t="s">
        <v>331</v>
      </c>
      <c r="B45" s="11">
        <v>43752</v>
      </c>
      <c r="C45">
        <v>8</v>
      </c>
      <c r="D45">
        <v>18</v>
      </c>
      <c r="E45">
        <v>24</v>
      </c>
      <c r="F45">
        <v>12.1</v>
      </c>
      <c r="G45" s="14">
        <f t="shared" si="0"/>
        <v>14.758048651498612</v>
      </c>
    </row>
    <row r="46" spans="1:7" x14ac:dyDescent="0.35">
      <c r="A46" t="s">
        <v>331</v>
      </c>
      <c r="B46" s="11">
        <v>43753</v>
      </c>
      <c r="C46">
        <v>8</v>
      </c>
      <c r="D46">
        <v>15.2</v>
      </c>
      <c r="E46">
        <v>24</v>
      </c>
      <c r="F46">
        <v>11.1</v>
      </c>
      <c r="G46" s="14">
        <f t="shared" si="0"/>
        <v>12.989226304903614</v>
      </c>
    </row>
    <row r="47" spans="1:7" x14ac:dyDescent="0.35">
      <c r="A47" t="s">
        <v>331</v>
      </c>
      <c r="B47" s="11">
        <v>43754</v>
      </c>
      <c r="C47">
        <v>8</v>
      </c>
      <c r="D47">
        <v>16.3</v>
      </c>
      <c r="E47">
        <v>24</v>
      </c>
      <c r="F47">
        <v>11.7</v>
      </c>
      <c r="G47" s="14">
        <f t="shared" si="0"/>
        <v>13.809779143780686</v>
      </c>
    </row>
    <row r="48" spans="1:7" x14ac:dyDescent="0.35">
      <c r="A48" t="s">
        <v>331</v>
      </c>
      <c r="B48" s="11">
        <v>43755</v>
      </c>
      <c r="C48">
        <v>8</v>
      </c>
      <c r="D48">
        <v>16.2</v>
      </c>
      <c r="E48">
        <v>24</v>
      </c>
      <c r="F48">
        <v>11.3</v>
      </c>
      <c r="G48" s="14">
        <f t="shared" si="0"/>
        <v>13.529966740535617</v>
      </c>
    </row>
    <row r="49" spans="1:7" x14ac:dyDescent="0.35">
      <c r="A49" t="s">
        <v>331</v>
      </c>
      <c r="B49" s="11">
        <v>43756</v>
      </c>
      <c r="C49">
        <v>8</v>
      </c>
      <c r="D49">
        <v>17.2</v>
      </c>
      <c r="E49">
        <v>24</v>
      </c>
      <c r="F49">
        <v>10.4</v>
      </c>
      <c r="G49" s="14">
        <f t="shared" si="0"/>
        <v>13.374602797840391</v>
      </c>
    </row>
    <row r="50" spans="1:7" x14ac:dyDescent="0.35">
      <c r="A50" t="s">
        <v>331</v>
      </c>
      <c r="B50" s="11">
        <v>43757</v>
      </c>
      <c r="C50">
        <v>8</v>
      </c>
      <c r="D50">
        <v>14.4</v>
      </c>
      <c r="E50">
        <v>24</v>
      </c>
      <c r="F50">
        <v>11.9</v>
      </c>
      <c r="G50" s="14">
        <f t="shared" si="0"/>
        <v>13.090454537562858</v>
      </c>
    </row>
    <row r="51" spans="1:7" x14ac:dyDescent="0.35">
      <c r="A51" t="s">
        <v>331</v>
      </c>
      <c r="B51" s="11">
        <v>43758</v>
      </c>
      <c r="C51">
        <v>8</v>
      </c>
      <c r="D51">
        <v>14.3</v>
      </c>
      <c r="E51">
        <v>24</v>
      </c>
      <c r="F51">
        <v>11.6</v>
      </c>
      <c r="G51" s="14">
        <f t="shared" si="0"/>
        <v>12.879440981657551</v>
      </c>
    </row>
    <row r="52" spans="1:7" x14ac:dyDescent="0.35">
      <c r="A52" t="s">
        <v>331</v>
      </c>
      <c r="B52" s="11">
        <v>43759</v>
      </c>
      <c r="C52">
        <v>8</v>
      </c>
      <c r="D52">
        <v>17.899999999999999</v>
      </c>
      <c r="E52">
        <v>24</v>
      </c>
      <c r="F52">
        <v>10.1</v>
      </c>
      <c r="G52" s="14">
        <f t="shared" si="0"/>
        <v>13.445817193462061</v>
      </c>
    </row>
    <row r="53" spans="1:7" x14ac:dyDescent="0.35">
      <c r="A53" t="s">
        <v>331</v>
      </c>
      <c r="B53" s="11">
        <v>43760</v>
      </c>
      <c r="C53">
        <v>8</v>
      </c>
      <c r="D53">
        <v>17.100000000000001</v>
      </c>
      <c r="E53">
        <v>24</v>
      </c>
      <c r="F53">
        <v>8.4</v>
      </c>
      <c r="G53" s="14">
        <f t="shared" si="0"/>
        <v>11.984990613262909</v>
      </c>
    </row>
    <row r="54" spans="1:7" x14ac:dyDescent="0.35">
      <c r="A54" t="s">
        <v>331</v>
      </c>
      <c r="B54" s="11">
        <v>43761</v>
      </c>
      <c r="C54">
        <v>8</v>
      </c>
      <c r="D54">
        <v>19.2</v>
      </c>
      <c r="E54">
        <v>24</v>
      </c>
      <c r="F54">
        <v>7.4</v>
      </c>
      <c r="G54" s="14">
        <f t="shared" si="0"/>
        <v>11.919731540601072</v>
      </c>
    </row>
    <row r="55" spans="1:7" x14ac:dyDescent="0.35">
      <c r="A55" t="s">
        <v>331</v>
      </c>
      <c r="B55" s="11">
        <v>43762</v>
      </c>
      <c r="C55">
        <v>8</v>
      </c>
      <c r="D55">
        <v>14.8</v>
      </c>
      <c r="E55">
        <v>24</v>
      </c>
      <c r="F55">
        <v>9.6999999999999993</v>
      </c>
      <c r="G55" s="14">
        <f t="shared" si="0"/>
        <v>11.981652640600128</v>
      </c>
    </row>
    <row r="56" spans="1:7" x14ac:dyDescent="0.35">
      <c r="A56" t="s">
        <v>331</v>
      </c>
      <c r="B56" s="11">
        <v>43763</v>
      </c>
      <c r="C56">
        <v>8</v>
      </c>
      <c r="D56">
        <v>16.7</v>
      </c>
      <c r="E56">
        <v>24</v>
      </c>
      <c r="F56">
        <v>10.9</v>
      </c>
      <c r="G56" s="14">
        <f t="shared" si="0"/>
        <v>13.491849391391826</v>
      </c>
    </row>
    <row r="57" spans="1:7" x14ac:dyDescent="0.35">
      <c r="A57" t="s">
        <v>331</v>
      </c>
      <c r="B57" s="11">
        <v>43764</v>
      </c>
      <c r="C57">
        <v>8</v>
      </c>
      <c r="D57">
        <v>15.7</v>
      </c>
      <c r="E57">
        <v>24</v>
      </c>
      <c r="F57">
        <v>10.8</v>
      </c>
      <c r="G57" s="14">
        <f t="shared" si="0"/>
        <v>13.021520648526423</v>
      </c>
    </row>
    <row r="58" spans="1:7" x14ac:dyDescent="0.35">
      <c r="A58" t="s">
        <v>331</v>
      </c>
      <c r="B58" s="11">
        <v>43765</v>
      </c>
      <c r="C58">
        <v>8</v>
      </c>
      <c r="D58">
        <v>17.2</v>
      </c>
      <c r="E58">
        <v>24</v>
      </c>
      <c r="F58">
        <v>10.9</v>
      </c>
      <c r="G58" s="14">
        <f t="shared" si="0"/>
        <v>13.692333621410194</v>
      </c>
    </row>
    <row r="59" spans="1:7" x14ac:dyDescent="0.35">
      <c r="A59" t="s">
        <v>331</v>
      </c>
      <c r="B59" s="11">
        <v>43766</v>
      </c>
      <c r="C59">
        <v>8</v>
      </c>
      <c r="D59">
        <v>20.8</v>
      </c>
      <c r="E59">
        <v>24</v>
      </c>
      <c r="F59">
        <v>11.4</v>
      </c>
      <c r="G59" s="14">
        <f t="shared" si="0"/>
        <v>15.398701243936127</v>
      </c>
    </row>
    <row r="60" spans="1:7" x14ac:dyDescent="0.35">
      <c r="A60" t="s">
        <v>331</v>
      </c>
      <c r="B60" s="11">
        <v>43767</v>
      </c>
      <c r="C60">
        <v>8</v>
      </c>
      <c r="D60">
        <v>19.5</v>
      </c>
      <c r="E60">
        <v>24</v>
      </c>
      <c r="F60">
        <v>11.4</v>
      </c>
      <c r="G60" s="14">
        <f t="shared" si="0"/>
        <v>14.909728367747014</v>
      </c>
    </row>
    <row r="61" spans="1:7" x14ac:dyDescent="0.35">
      <c r="A61" t="s">
        <v>331</v>
      </c>
      <c r="B61" s="11">
        <v>43768</v>
      </c>
      <c r="C61">
        <v>8</v>
      </c>
      <c r="D61">
        <v>17.2</v>
      </c>
      <c r="E61">
        <v>24</v>
      </c>
      <c r="F61">
        <v>10</v>
      </c>
      <c r="G61" s="14">
        <f t="shared" si="0"/>
        <v>13.114877048604002</v>
      </c>
    </row>
    <row r="62" spans="1:7" x14ac:dyDescent="0.35">
      <c r="A62" t="s">
        <v>331</v>
      </c>
      <c r="B62" s="11">
        <v>43769</v>
      </c>
      <c r="C62">
        <v>8</v>
      </c>
      <c r="D62">
        <v>16.600000000000001</v>
      </c>
      <c r="E62">
        <v>24</v>
      </c>
      <c r="F62">
        <v>10.9</v>
      </c>
      <c r="G62" s="14">
        <f t="shared" si="0"/>
        <v>13.451393979807447</v>
      </c>
    </row>
    <row r="63" spans="1:7" x14ac:dyDescent="0.35">
      <c r="A63" t="s">
        <v>331</v>
      </c>
      <c r="B63" s="11">
        <v>43770</v>
      </c>
      <c r="C63">
        <v>8</v>
      </c>
      <c r="D63">
        <v>17.899999999999999</v>
      </c>
      <c r="E63">
        <v>24</v>
      </c>
      <c r="F63">
        <v>11</v>
      </c>
      <c r="G63" s="14">
        <f t="shared" si="0"/>
        <v>14.032106042928838</v>
      </c>
    </row>
    <row r="64" spans="1:7" x14ac:dyDescent="0.35">
      <c r="A64" t="s">
        <v>331</v>
      </c>
      <c r="B64" s="11">
        <v>43771</v>
      </c>
      <c r="C64">
        <v>8</v>
      </c>
      <c r="D64">
        <v>16.8</v>
      </c>
      <c r="E64">
        <v>24</v>
      </c>
      <c r="F64">
        <v>11.1</v>
      </c>
      <c r="G64" s="14">
        <f t="shared" si="0"/>
        <v>13.655768012089251</v>
      </c>
    </row>
    <row r="65" spans="1:7" x14ac:dyDescent="0.35">
      <c r="A65" t="s">
        <v>331</v>
      </c>
      <c r="B65" s="11">
        <v>43772</v>
      </c>
      <c r="C65">
        <v>8</v>
      </c>
      <c r="D65">
        <v>18.399999999999999</v>
      </c>
      <c r="E65">
        <v>24</v>
      </c>
      <c r="F65">
        <v>11.3</v>
      </c>
      <c r="G65" s="14">
        <f t="shared" si="0"/>
        <v>14.419431334140747</v>
      </c>
    </row>
    <row r="66" spans="1:7" x14ac:dyDescent="0.35">
      <c r="A66" t="s">
        <v>331</v>
      </c>
      <c r="B66" s="11">
        <v>43773</v>
      </c>
      <c r="C66">
        <v>8</v>
      </c>
      <c r="D66">
        <v>19.600000000000001</v>
      </c>
      <c r="E66">
        <v>24</v>
      </c>
      <c r="F66">
        <v>12.1</v>
      </c>
      <c r="G66" s="14">
        <f t="shared" ref="G66:G129" si="1">GEOMEAN(D66,F66)</f>
        <v>15.4</v>
      </c>
    </row>
    <row r="67" spans="1:7" x14ac:dyDescent="0.35">
      <c r="A67" t="s">
        <v>331</v>
      </c>
      <c r="B67" s="11">
        <v>43774</v>
      </c>
      <c r="C67">
        <v>8</v>
      </c>
      <c r="D67">
        <v>21.5</v>
      </c>
      <c r="E67">
        <v>24</v>
      </c>
      <c r="F67">
        <v>12.1</v>
      </c>
      <c r="G67" s="14">
        <f t="shared" si="1"/>
        <v>16.129166128476697</v>
      </c>
    </row>
    <row r="68" spans="1:7" x14ac:dyDescent="0.35">
      <c r="A68" t="s">
        <v>331</v>
      </c>
      <c r="B68" s="11">
        <v>43775</v>
      </c>
      <c r="C68">
        <v>8</v>
      </c>
      <c r="D68">
        <v>21.9</v>
      </c>
      <c r="E68">
        <v>24</v>
      </c>
      <c r="F68">
        <v>12.8</v>
      </c>
      <c r="G68" s="14">
        <f t="shared" si="1"/>
        <v>16.742759629165079</v>
      </c>
    </row>
    <row r="69" spans="1:7" x14ac:dyDescent="0.35">
      <c r="A69" t="s">
        <v>331</v>
      </c>
      <c r="B69" s="11">
        <v>43776</v>
      </c>
      <c r="C69">
        <v>8</v>
      </c>
      <c r="D69">
        <v>21.4</v>
      </c>
      <c r="E69">
        <v>24</v>
      </c>
      <c r="F69">
        <v>14.6</v>
      </c>
      <c r="G69" s="14">
        <f t="shared" si="1"/>
        <v>17.675972391922318</v>
      </c>
    </row>
    <row r="70" spans="1:7" x14ac:dyDescent="0.35">
      <c r="A70" t="s">
        <v>331</v>
      </c>
      <c r="B70" s="11">
        <v>43777</v>
      </c>
      <c r="C70">
        <v>8</v>
      </c>
      <c r="D70">
        <v>18.8</v>
      </c>
      <c r="E70">
        <v>24</v>
      </c>
      <c r="F70">
        <v>14.9</v>
      </c>
      <c r="G70" s="14">
        <f t="shared" si="1"/>
        <v>16.736785832411194</v>
      </c>
    </row>
    <row r="71" spans="1:7" x14ac:dyDescent="0.35">
      <c r="A71" t="s">
        <v>331</v>
      </c>
      <c r="B71" s="11">
        <v>43778</v>
      </c>
      <c r="C71">
        <v>8</v>
      </c>
      <c r="D71">
        <v>20.100000000000001</v>
      </c>
      <c r="E71">
        <v>24</v>
      </c>
      <c r="F71">
        <v>15.7</v>
      </c>
      <c r="G71" s="14">
        <f t="shared" si="1"/>
        <v>17.764290022401685</v>
      </c>
    </row>
    <row r="72" spans="1:7" x14ac:dyDescent="0.35">
      <c r="A72" t="s">
        <v>331</v>
      </c>
      <c r="B72" s="11">
        <v>43779</v>
      </c>
      <c r="C72">
        <v>8</v>
      </c>
      <c r="D72">
        <v>19.399999999999999</v>
      </c>
      <c r="E72">
        <v>24</v>
      </c>
      <c r="F72">
        <v>16</v>
      </c>
      <c r="G72" s="14">
        <f t="shared" si="1"/>
        <v>17.618172436436193</v>
      </c>
    </row>
    <row r="73" spans="1:7" x14ac:dyDescent="0.35">
      <c r="A73" t="s">
        <v>331</v>
      </c>
      <c r="B73" s="11">
        <v>43780</v>
      </c>
      <c r="C73">
        <v>8</v>
      </c>
      <c r="D73">
        <v>19.3</v>
      </c>
      <c r="E73">
        <v>24</v>
      </c>
      <c r="F73">
        <v>12.4</v>
      </c>
      <c r="G73" s="14">
        <f t="shared" si="1"/>
        <v>15.469970911414153</v>
      </c>
    </row>
    <row r="74" spans="1:7" x14ac:dyDescent="0.35">
      <c r="A74" t="s">
        <v>331</v>
      </c>
      <c r="B74" s="11">
        <v>43781</v>
      </c>
      <c r="C74">
        <v>8</v>
      </c>
      <c r="D74">
        <v>18.7</v>
      </c>
      <c r="E74">
        <v>24</v>
      </c>
      <c r="F74">
        <v>11</v>
      </c>
      <c r="G74" s="14">
        <f t="shared" si="1"/>
        <v>14.342245291445828</v>
      </c>
    </row>
    <row r="75" spans="1:7" x14ac:dyDescent="0.35">
      <c r="A75" t="s">
        <v>331</v>
      </c>
      <c r="B75" s="11">
        <v>43782</v>
      </c>
      <c r="C75">
        <v>8</v>
      </c>
      <c r="D75">
        <v>16.399999999999999</v>
      </c>
      <c r="E75">
        <v>24</v>
      </c>
      <c r="F75">
        <v>8.6999999999999993</v>
      </c>
      <c r="G75" s="14">
        <f t="shared" si="1"/>
        <v>11.944873377311289</v>
      </c>
    </row>
    <row r="76" spans="1:7" x14ac:dyDescent="0.35">
      <c r="A76" t="s">
        <v>331</v>
      </c>
      <c r="B76" s="11">
        <v>43783</v>
      </c>
      <c r="C76">
        <v>8</v>
      </c>
      <c r="D76">
        <v>20.399999999999999</v>
      </c>
      <c r="E76">
        <v>24</v>
      </c>
      <c r="F76">
        <v>12.7</v>
      </c>
      <c r="G76" s="14">
        <f t="shared" si="1"/>
        <v>16.095962226595837</v>
      </c>
    </row>
    <row r="77" spans="1:7" x14ac:dyDescent="0.35">
      <c r="A77" t="s">
        <v>331</v>
      </c>
      <c r="B77" s="11">
        <v>43784</v>
      </c>
      <c r="C77">
        <v>8</v>
      </c>
      <c r="D77">
        <v>20.9</v>
      </c>
      <c r="E77">
        <v>24</v>
      </c>
      <c r="F77">
        <v>12.2</v>
      </c>
      <c r="G77" s="14">
        <f t="shared" si="1"/>
        <v>15.968093186100836</v>
      </c>
    </row>
    <row r="78" spans="1:7" x14ac:dyDescent="0.35">
      <c r="A78" t="s">
        <v>331</v>
      </c>
      <c r="B78" s="11">
        <v>43785</v>
      </c>
      <c r="C78">
        <v>8</v>
      </c>
      <c r="D78">
        <v>18.2</v>
      </c>
      <c r="E78">
        <v>24</v>
      </c>
      <c r="F78">
        <v>11.2</v>
      </c>
      <c r="G78" s="14">
        <f t="shared" si="1"/>
        <v>14.277254638059796</v>
      </c>
    </row>
    <row r="79" spans="1:7" x14ac:dyDescent="0.35">
      <c r="A79" t="s">
        <v>331</v>
      </c>
      <c r="B79" s="11">
        <v>43786</v>
      </c>
      <c r="C79">
        <v>8</v>
      </c>
      <c r="D79">
        <v>22.2</v>
      </c>
      <c r="E79">
        <v>24</v>
      </c>
      <c r="F79">
        <v>11.2</v>
      </c>
      <c r="G79" s="14">
        <f t="shared" si="1"/>
        <v>15.768322675541617</v>
      </c>
    </row>
    <row r="80" spans="1:7" x14ac:dyDescent="0.35">
      <c r="A80" t="s">
        <v>331</v>
      </c>
      <c r="B80" s="11">
        <v>43787</v>
      </c>
      <c r="C80">
        <v>8</v>
      </c>
      <c r="D80">
        <v>18.600000000000001</v>
      </c>
      <c r="E80">
        <v>24</v>
      </c>
      <c r="F80">
        <v>15.2</v>
      </c>
      <c r="G80" s="14">
        <f t="shared" si="1"/>
        <v>16.814279645586961</v>
      </c>
    </row>
    <row r="81" spans="1:7" x14ac:dyDescent="0.35">
      <c r="A81" t="s">
        <v>331</v>
      </c>
      <c r="B81" s="11">
        <v>43788</v>
      </c>
      <c r="C81">
        <v>8</v>
      </c>
      <c r="D81">
        <v>19.5</v>
      </c>
      <c r="E81">
        <v>24</v>
      </c>
      <c r="F81">
        <v>11.5</v>
      </c>
      <c r="G81" s="14">
        <f t="shared" si="1"/>
        <v>14.974979131871937</v>
      </c>
    </row>
    <row r="82" spans="1:7" x14ac:dyDescent="0.35">
      <c r="A82" t="s">
        <v>331</v>
      </c>
      <c r="B82" s="11">
        <v>43789</v>
      </c>
      <c r="C82">
        <v>8</v>
      </c>
      <c r="D82">
        <v>17.399999999999999</v>
      </c>
      <c r="E82">
        <v>24</v>
      </c>
      <c r="F82">
        <v>10.5</v>
      </c>
      <c r="G82" s="14">
        <f t="shared" si="1"/>
        <v>13.516656391282572</v>
      </c>
    </row>
    <row r="83" spans="1:7" x14ac:dyDescent="0.35">
      <c r="A83" t="s">
        <v>331</v>
      </c>
      <c r="B83" s="11">
        <v>43790</v>
      </c>
      <c r="C83">
        <v>8</v>
      </c>
      <c r="D83">
        <v>21.3</v>
      </c>
      <c r="E83">
        <v>24</v>
      </c>
      <c r="F83">
        <v>12.4</v>
      </c>
      <c r="G83" s="14">
        <f t="shared" si="1"/>
        <v>16.25176913446656</v>
      </c>
    </row>
    <row r="84" spans="1:7" x14ac:dyDescent="0.35">
      <c r="A84" t="s">
        <v>331</v>
      </c>
      <c r="B84" s="11">
        <v>43791</v>
      </c>
      <c r="C84">
        <v>8</v>
      </c>
      <c r="D84">
        <v>18.2</v>
      </c>
      <c r="E84">
        <v>24</v>
      </c>
      <c r="F84">
        <v>11.4</v>
      </c>
      <c r="G84" s="14">
        <f t="shared" si="1"/>
        <v>14.404166064024672</v>
      </c>
    </row>
    <row r="85" spans="1:7" x14ac:dyDescent="0.35">
      <c r="A85" t="s">
        <v>331</v>
      </c>
      <c r="B85" s="11">
        <v>43792</v>
      </c>
      <c r="C85">
        <v>8</v>
      </c>
      <c r="D85">
        <v>18.899999999999999</v>
      </c>
      <c r="E85">
        <v>24</v>
      </c>
      <c r="F85">
        <v>12.8</v>
      </c>
      <c r="G85" s="14">
        <f t="shared" si="1"/>
        <v>15.553777676178864</v>
      </c>
    </row>
    <row r="86" spans="1:7" x14ac:dyDescent="0.35">
      <c r="A86" t="s">
        <v>331</v>
      </c>
      <c r="B86" s="11">
        <v>43793</v>
      </c>
      <c r="C86">
        <v>8</v>
      </c>
      <c r="D86">
        <v>20.7</v>
      </c>
      <c r="E86">
        <v>24</v>
      </c>
      <c r="F86">
        <v>13.6</v>
      </c>
      <c r="G86" s="14">
        <f t="shared" si="1"/>
        <v>16.778557744931476</v>
      </c>
    </row>
    <row r="87" spans="1:7" x14ac:dyDescent="0.35">
      <c r="A87" t="s">
        <v>331</v>
      </c>
      <c r="B87" s="11">
        <v>43794</v>
      </c>
      <c r="C87">
        <v>8</v>
      </c>
      <c r="D87">
        <v>19.7</v>
      </c>
      <c r="E87">
        <v>24</v>
      </c>
      <c r="F87">
        <v>14.2</v>
      </c>
      <c r="G87" s="14">
        <f t="shared" si="1"/>
        <v>16.725429740368405</v>
      </c>
    </row>
    <row r="88" spans="1:7" x14ac:dyDescent="0.35">
      <c r="A88" t="s">
        <v>331</v>
      </c>
      <c r="B88" s="11">
        <v>43795</v>
      </c>
      <c r="C88">
        <v>8</v>
      </c>
      <c r="D88">
        <v>21.2</v>
      </c>
      <c r="E88">
        <v>24</v>
      </c>
      <c r="F88">
        <v>13.1</v>
      </c>
      <c r="G88" s="14">
        <f t="shared" si="1"/>
        <v>16.664933243190625</v>
      </c>
    </row>
    <row r="89" spans="1:7" x14ac:dyDescent="0.35">
      <c r="A89" t="s">
        <v>331</v>
      </c>
      <c r="B89" s="11">
        <v>43796</v>
      </c>
      <c r="C89">
        <v>8</v>
      </c>
      <c r="D89">
        <v>20.9</v>
      </c>
      <c r="E89">
        <v>24</v>
      </c>
      <c r="F89">
        <v>14.3</v>
      </c>
      <c r="G89" s="14">
        <f t="shared" si="1"/>
        <v>17.287857010051884</v>
      </c>
    </row>
    <row r="90" spans="1:7" x14ac:dyDescent="0.35">
      <c r="A90" t="s">
        <v>331</v>
      </c>
      <c r="B90" s="11">
        <v>43797</v>
      </c>
      <c r="C90">
        <v>8</v>
      </c>
      <c r="D90">
        <v>21.6</v>
      </c>
      <c r="E90">
        <v>24</v>
      </c>
      <c r="F90">
        <v>15.2</v>
      </c>
      <c r="G90" s="14">
        <f t="shared" si="1"/>
        <v>18.119602644649799</v>
      </c>
    </row>
    <row r="91" spans="1:7" x14ac:dyDescent="0.35">
      <c r="A91" t="s">
        <v>331</v>
      </c>
      <c r="B91" s="11">
        <v>43798</v>
      </c>
      <c r="C91">
        <v>8</v>
      </c>
      <c r="D91">
        <v>20.5</v>
      </c>
      <c r="E91">
        <v>24</v>
      </c>
      <c r="F91">
        <v>16</v>
      </c>
      <c r="G91" s="14">
        <f t="shared" si="1"/>
        <v>18.110770276274835</v>
      </c>
    </row>
    <row r="92" spans="1:7" x14ac:dyDescent="0.35">
      <c r="A92" t="s">
        <v>331</v>
      </c>
      <c r="B92" s="11">
        <v>43799</v>
      </c>
      <c r="C92">
        <v>8</v>
      </c>
      <c r="D92">
        <v>21.4</v>
      </c>
      <c r="E92">
        <v>24</v>
      </c>
      <c r="F92">
        <v>16</v>
      </c>
      <c r="G92" s="14">
        <f t="shared" si="1"/>
        <v>18.504053609952603</v>
      </c>
    </row>
    <row r="93" spans="1:7" x14ac:dyDescent="0.35">
      <c r="A93" t="s">
        <v>331</v>
      </c>
      <c r="B93" s="11">
        <v>43800</v>
      </c>
      <c r="C93">
        <v>8</v>
      </c>
      <c r="D93">
        <v>20.8</v>
      </c>
      <c r="E93">
        <v>24</v>
      </c>
      <c r="F93">
        <v>15.9</v>
      </c>
      <c r="G93" s="14">
        <f t="shared" si="1"/>
        <v>18.185708674670888</v>
      </c>
    </row>
    <row r="94" spans="1:7" x14ac:dyDescent="0.35">
      <c r="A94" t="s">
        <v>331</v>
      </c>
      <c r="B94" s="11">
        <v>43801</v>
      </c>
      <c r="C94">
        <v>8</v>
      </c>
      <c r="D94">
        <v>21.3</v>
      </c>
      <c r="E94">
        <v>24</v>
      </c>
      <c r="F94">
        <v>15.6</v>
      </c>
      <c r="G94" s="14">
        <f t="shared" si="1"/>
        <v>18.228549037155975</v>
      </c>
    </row>
    <row r="95" spans="1:7" x14ac:dyDescent="0.35">
      <c r="A95" t="s">
        <v>331</v>
      </c>
      <c r="B95" s="11">
        <v>43802</v>
      </c>
      <c r="C95">
        <v>8</v>
      </c>
      <c r="D95">
        <v>21.9</v>
      </c>
      <c r="E95">
        <v>24</v>
      </c>
      <c r="F95">
        <v>15.2</v>
      </c>
      <c r="G95" s="14">
        <f t="shared" si="1"/>
        <v>18.244999314880776</v>
      </c>
    </row>
    <row r="96" spans="1:7" x14ac:dyDescent="0.35">
      <c r="A96" t="s">
        <v>331</v>
      </c>
      <c r="B96" s="11">
        <v>43803</v>
      </c>
      <c r="C96">
        <v>8</v>
      </c>
      <c r="D96">
        <v>21.6</v>
      </c>
      <c r="E96">
        <v>24</v>
      </c>
      <c r="F96">
        <v>15.1</v>
      </c>
      <c r="G96" s="14">
        <f t="shared" si="1"/>
        <v>18.059900331950896</v>
      </c>
    </row>
    <row r="97" spans="1:7" x14ac:dyDescent="0.35">
      <c r="A97" t="s">
        <v>331</v>
      </c>
      <c r="B97" s="11">
        <v>43804</v>
      </c>
      <c r="C97">
        <v>8</v>
      </c>
      <c r="D97">
        <v>21.2</v>
      </c>
      <c r="E97">
        <v>24</v>
      </c>
      <c r="F97">
        <v>14.1</v>
      </c>
      <c r="G97" s="14">
        <f t="shared" si="1"/>
        <v>17.28930305130892</v>
      </c>
    </row>
    <row r="98" spans="1:7" x14ac:dyDescent="0.35">
      <c r="A98" t="s">
        <v>331</v>
      </c>
      <c r="B98" s="11">
        <v>43805</v>
      </c>
      <c r="C98">
        <v>8</v>
      </c>
      <c r="D98">
        <v>20.9</v>
      </c>
      <c r="E98">
        <v>24</v>
      </c>
      <c r="F98">
        <v>15.1</v>
      </c>
      <c r="G98" s="14">
        <f t="shared" si="1"/>
        <v>17.764852940567788</v>
      </c>
    </row>
    <row r="99" spans="1:7" x14ac:dyDescent="0.35">
      <c r="A99" t="s">
        <v>331</v>
      </c>
      <c r="B99" s="11">
        <v>43806</v>
      </c>
      <c r="C99">
        <v>8</v>
      </c>
      <c r="D99">
        <v>22.2</v>
      </c>
      <c r="E99">
        <v>24</v>
      </c>
      <c r="F99">
        <v>14.9</v>
      </c>
      <c r="G99" s="14">
        <f t="shared" si="1"/>
        <v>18.187358246870268</v>
      </c>
    </row>
    <row r="100" spans="1:7" x14ac:dyDescent="0.35">
      <c r="A100" t="s">
        <v>331</v>
      </c>
      <c r="B100" s="11">
        <v>43807</v>
      </c>
      <c r="C100">
        <v>8</v>
      </c>
      <c r="D100">
        <v>21.8</v>
      </c>
      <c r="E100">
        <v>24</v>
      </c>
      <c r="F100">
        <v>17.3</v>
      </c>
      <c r="G100" s="14">
        <f t="shared" si="1"/>
        <v>19.420092687729376</v>
      </c>
    </row>
    <row r="101" spans="1:7" x14ac:dyDescent="0.35">
      <c r="A101" t="s">
        <v>331</v>
      </c>
      <c r="B101" s="11">
        <v>43808</v>
      </c>
      <c r="C101">
        <v>8</v>
      </c>
      <c r="D101">
        <v>21.2</v>
      </c>
      <c r="E101">
        <v>24</v>
      </c>
      <c r="F101">
        <v>15.2</v>
      </c>
      <c r="G101" s="14">
        <f t="shared" si="1"/>
        <v>17.951044537853498</v>
      </c>
    </row>
    <row r="102" spans="1:7" x14ac:dyDescent="0.35">
      <c r="A102" t="s">
        <v>331</v>
      </c>
      <c r="B102" s="11">
        <v>43809</v>
      </c>
      <c r="C102">
        <v>8</v>
      </c>
      <c r="D102">
        <v>21.5</v>
      </c>
      <c r="E102">
        <v>24</v>
      </c>
      <c r="F102">
        <v>13.6</v>
      </c>
      <c r="G102" s="14">
        <f t="shared" si="1"/>
        <v>17.099707599839242</v>
      </c>
    </row>
    <row r="103" spans="1:7" x14ac:dyDescent="0.35">
      <c r="A103" t="s">
        <v>331</v>
      </c>
      <c r="B103" s="11">
        <v>43810</v>
      </c>
      <c r="C103">
        <v>8</v>
      </c>
      <c r="D103">
        <v>21.8</v>
      </c>
      <c r="E103">
        <v>24</v>
      </c>
      <c r="F103">
        <v>14.4</v>
      </c>
      <c r="G103" s="14">
        <f t="shared" si="1"/>
        <v>17.717787672280082</v>
      </c>
    </row>
    <row r="104" spans="1:7" x14ac:dyDescent="0.35">
      <c r="A104" t="s">
        <v>331</v>
      </c>
      <c r="B104" s="11">
        <v>43811</v>
      </c>
      <c r="C104">
        <v>8</v>
      </c>
      <c r="D104">
        <v>22.3</v>
      </c>
      <c r="E104">
        <v>24</v>
      </c>
      <c r="F104">
        <v>14.8</v>
      </c>
      <c r="G104" s="14">
        <f t="shared" si="1"/>
        <v>18.167003054989561</v>
      </c>
    </row>
    <row r="105" spans="1:7" x14ac:dyDescent="0.35">
      <c r="A105" t="s">
        <v>331</v>
      </c>
      <c r="B105" s="11">
        <v>43812</v>
      </c>
      <c r="C105">
        <v>8</v>
      </c>
      <c r="D105">
        <v>22.2</v>
      </c>
      <c r="E105">
        <v>24</v>
      </c>
      <c r="F105">
        <v>15.1</v>
      </c>
      <c r="G105" s="14">
        <f t="shared" si="1"/>
        <v>18.30901417335188</v>
      </c>
    </row>
    <row r="106" spans="1:7" x14ac:dyDescent="0.35">
      <c r="A106" t="s">
        <v>331</v>
      </c>
      <c r="B106" s="11">
        <v>43813</v>
      </c>
      <c r="C106">
        <v>8</v>
      </c>
      <c r="D106">
        <v>23.1</v>
      </c>
      <c r="E106">
        <v>24</v>
      </c>
      <c r="F106">
        <v>16.600000000000001</v>
      </c>
      <c r="G106" s="14">
        <f t="shared" si="1"/>
        <v>19.582134715091716</v>
      </c>
    </row>
    <row r="107" spans="1:7" x14ac:dyDescent="0.35">
      <c r="A107" t="s">
        <v>331</v>
      </c>
      <c r="B107" s="11">
        <v>43814</v>
      </c>
      <c r="C107">
        <v>8</v>
      </c>
      <c r="D107">
        <v>23.9</v>
      </c>
      <c r="E107">
        <v>24</v>
      </c>
      <c r="F107">
        <v>14.2</v>
      </c>
      <c r="G107" s="14">
        <f t="shared" si="1"/>
        <v>18.422269132764288</v>
      </c>
    </row>
    <row r="108" spans="1:7" x14ac:dyDescent="0.35">
      <c r="A108" t="s">
        <v>331</v>
      </c>
      <c r="B108" s="11">
        <v>43815</v>
      </c>
      <c r="C108">
        <v>8</v>
      </c>
      <c r="D108">
        <v>23.9</v>
      </c>
      <c r="E108">
        <v>24</v>
      </c>
      <c r="F108">
        <v>14.4</v>
      </c>
      <c r="G108" s="14">
        <f t="shared" si="1"/>
        <v>18.551549800488367</v>
      </c>
    </row>
    <row r="109" spans="1:7" x14ac:dyDescent="0.35">
      <c r="A109" t="s">
        <v>331</v>
      </c>
      <c r="B109" s="11">
        <v>43816</v>
      </c>
      <c r="C109">
        <v>8</v>
      </c>
      <c r="D109">
        <v>21.7</v>
      </c>
      <c r="E109">
        <v>24</v>
      </c>
      <c r="F109">
        <v>14.1</v>
      </c>
      <c r="G109" s="14">
        <f t="shared" si="1"/>
        <v>17.491998170592176</v>
      </c>
    </row>
    <row r="110" spans="1:7" x14ac:dyDescent="0.35">
      <c r="A110" t="s">
        <v>331</v>
      </c>
      <c r="B110" s="11">
        <v>43817</v>
      </c>
      <c r="C110">
        <v>8</v>
      </c>
      <c r="D110">
        <v>20.9</v>
      </c>
      <c r="E110">
        <v>24</v>
      </c>
      <c r="F110">
        <v>13.4</v>
      </c>
      <c r="G110" s="14">
        <f t="shared" si="1"/>
        <v>16.734993277560644</v>
      </c>
    </row>
    <row r="111" spans="1:7" x14ac:dyDescent="0.35">
      <c r="A111" t="s">
        <v>331</v>
      </c>
      <c r="B111" s="11">
        <v>43819</v>
      </c>
      <c r="C111">
        <v>8</v>
      </c>
      <c r="D111">
        <v>22.6</v>
      </c>
      <c r="E111">
        <v>48</v>
      </c>
      <c r="F111">
        <v>13.4</v>
      </c>
      <c r="G111" s="14">
        <f t="shared" si="1"/>
        <v>17.402298698735176</v>
      </c>
    </row>
    <row r="112" spans="1:7" x14ac:dyDescent="0.35">
      <c r="A112" t="s">
        <v>331</v>
      </c>
      <c r="B112" s="11">
        <v>43820</v>
      </c>
      <c r="C112">
        <v>8</v>
      </c>
      <c r="D112">
        <v>22.7</v>
      </c>
      <c r="E112">
        <v>24</v>
      </c>
      <c r="F112">
        <v>11.8</v>
      </c>
      <c r="G112" s="14">
        <f t="shared" si="1"/>
        <v>16.36642905462276</v>
      </c>
    </row>
    <row r="113" spans="1:7" x14ac:dyDescent="0.35">
      <c r="A113" t="s">
        <v>331</v>
      </c>
      <c r="B113" s="11">
        <v>43821</v>
      </c>
      <c r="C113">
        <v>8</v>
      </c>
      <c r="D113">
        <v>20.5</v>
      </c>
      <c r="E113">
        <v>24</v>
      </c>
      <c r="F113">
        <v>11.7</v>
      </c>
      <c r="G113" s="14">
        <f t="shared" si="1"/>
        <v>15.487091398968367</v>
      </c>
    </row>
    <row r="114" spans="1:7" x14ac:dyDescent="0.35">
      <c r="A114" t="s">
        <v>331</v>
      </c>
      <c r="B114" s="11">
        <v>43822</v>
      </c>
      <c r="C114">
        <v>8</v>
      </c>
      <c r="D114">
        <v>21</v>
      </c>
      <c r="E114">
        <v>24</v>
      </c>
      <c r="F114">
        <v>11.7</v>
      </c>
      <c r="G114" s="14">
        <f t="shared" si="1"/>
        <v>15.674820573135756</v>
      </c>
    </row>
    <row r="115" spans="1:7" x14ac:dyDescent="0.35">
      <c r="A115" t="s">
        <v>331</v>
      </c>
      <c r="B115" s="11">
        <v>43823</v>
      </c>
      <c r="C115">
        <v>8</v>
      </c>
      <c r="D115">
        <v>20.9</v>
      </c>
      <c r="E115">
        <v>24</v>
      </c>
      <c r="F115">
        <v>14.6</v>
      </c>
      <c r="G115" s="14">
        <f t="shared" si="1"/>
        <v>17.468256925062672</v>
      </c>
    </row>
    <row r="116" spans="1:7" x14ac:dyDescent="0.35">
      <c r="A116" t="s">
        <v>331</v>
      </c>
      <c r="B116" s="11">
        <v>43824</v>
      </c>
      <c r="C116">
        <v>8</v>
      </c>
      <c r="D116">
        <v>23</v>
      </c>
      <c r="E116">
        <v>24</v>
      </c>
      <c r="F116">
        <v>14.1</v>
      </c>
      <c r="G116" s="14">
        <f t="shared" si="1"/>
        <v>18.008331405213532</v>
      </c>
    </row>
    <row r="117" spans="1:7" x14ac:dyDescent="0.35">
      <c r="A117" t="s">
        <v>331</v>
      </c>
      <c r="B117" s="11">
        <v>43825</v>
      </c>
      <c r="C117">
        <v>8</v>
      </c>
      <c r="D117">
        <v>22.9</v>
      </c>
      <c r="E117">
        <v>24</v>
      </c>
      <c r="F117">
        <v>14.1</v>
      </c>
      <c r="G117" s="14">
        <f t="shared" si="1"/>
        <v>17.969140213154329</v>
      </c>
    </row>
    <row r="118" spans="1:7" x14ac:dyDescent="0.35">
      <c r="A118" t="s">
        <v>331</v>
      </c>
      <c r="B118" s="11">
        <v>43826</v>
      </c>
      <c r="C118">
        <v>8</v>
      </c>
      <c r="D118">
        <v>23.3</v>
      </c>
      <c r="E118">
        <v>24</v>
      </c>
      <c r="F118">
        <v>14.6</v>
      </c>
      <c r="G118" s="14">
        <f t="shared" si="1"/>
        <v>18.443969204051498</v>
      </c>
    </row>
    <row r="119" spans="1:7" x14ac:dyDescent="0.35">
      <c r="A119" t="s">
        <v>331</v>
      </c>
      <c r="B119" s="11">
        <v>43827</v>
      </c>
      <c r="C119">
        <v>8</v>
      </c>
      <c r="D119">
        <v>21.7</v>
      </c>
      <c r="E119">
        <v>24</v>
      </c>
      <c r="F119">
        <v>13.8</v>
      </c>
      <c r="G119" s="14">
        <f t="shared" si="1"/>
        <v>17.304912597294447</v>
      </c>
    </row>
    <row r="120" spans="1:7" x14ac:dyDescent="0.35">
      <c r="A120" t="s">
        <v>331</v>
      </c>
      <c r="B120" s="11">
        <v>43828</v>
      </c>
      <c r="C120">
        <v>8</v>
      </c>
      <c r="D120">
        <v>21.1</v>
      </c>
      <c r="E120">
        <v>24</v>
      </c>
      <c r="F120">
        <v>13.1</v>
      </c>
      <c r="G120" s="14">
        <f t="shared" si="1"/>
        <v>16.62558269655533</v>
      </c>
    </row>
    <row r="121" spans="1:7" x14ac:dyDescent="0.35">
      <c r="A121" t="s">
        <v>331</v>
      </c>
      <c r="B121" s="11">
        <v>43829</v>
      </c>
      <c r="C121">
        <v>8</v>
      </c>
      <c r="D121">
        <v>21.7</v>
      </c>
      <c r="E121">
        <v>24</v>
      </c>
      <c r="F121">
        <v>13.1</v>
      </c>
      <c r="G121" s="14">
        <f t="shared" si="1"/>
        <v>16.860308419480351</v>
      </c>
    </row>
    <row r="122" spans="1:7" x14ac:dyDescent="0.35">
      <c r="A122" t="s">
        <v>331</v>
      </c>
      <c r="B122" s="11">
        <v>43830</v>
      </c>
      <c r="C122">
        <v>8</v>
      </c>
      <c r="D122">
        <v>22.8</v>
      </c>
      <c r="E122">
        <v>24</v>
      </c>
      <c r="F122">
        <v>13.4</v>
      </c>
      <c r="G122" s="14">
        <f t="shared" si="1"/>
        <v>17.47913041315271</v>
      </c>
    </row>
    <row r="123" spans="1:7" x14ac:dyDescent="0.35">
      <c r="A123" t="s">
        <v>331</v>
      </c>
      <c r="B123" s="11">
        <v>43831</v>
      </c>
      <c r="C123">
        <v>8</v>
      </c>
      <c r="D123">
        <v>22.3</v>
      </c>
      <c r="E123">
        <v>24</v>
      </c>
      <c r="F123">
        <v>14.9</v>
      </c>
      <c r="G123" s="14">
        <f t="shared" si="1"/>
        <v>18.22827474008443</v>
      </c>
    </row>
    <row r="124" spans="1:7" x14ac:dyDescent="0.35">
      <c r="A124" t="s">
        <v>331</v>
      </c>
      <c r="B124" s="11">
        <v>43832</v>
      </c>
      <c r="C124">
        <v>8</v>
      </c>
      <c r="D124">
        <v>23.8</v>
      </c>
      <c r="E124">
        <v>24</v>
      </c>
      <c r="F124">
        <v>14.8</v>
      </c>
      <c r="G124" s="14">
        <f t="shared" si="1"/>
        <v>18.768057970924961</v>
      </c>
    </row>
    <row r="125" spans="1:7" x14ac:dyDescent="0.35">
      <c r="A125" t="s">
        <v>331</v>
      </c>
      <c r="B125" s="11">
        <v>43833</v>
      </c>
      <c r="C125">
        <v>8</v>
      </c>
      <c r="D125">
        <v>22.9</v>
      </c>
      <c r="E125">
        <v>24</v>
      </c>
      <c r="F125">
        <v>15.3</v>
      </c>
      <c r="G125" s="14">
        <f t="shared" si="1"/>
        <v>18.718172987767797</v>
      </c>
    </row>
    <row r="126" spans="1:7" x14ac:dyDescent="0.35">
      <c r="A126" t="s">
        <v>331</v>
      </c>
      <c r="B126" s="11">
        <v>43834</v>
      </c>
      <c r="C126">
        <v>8</v>
      </c>
      <c r="D126">
        <v>23.2</v>
      </c>
      <c r="E126">
        <v>24</v>
      </c>
      <c r="F126">
        <v>15.1</v>
      </c>
      <c r="G126" s="14">
        <f t="shared" si="1"/>
        <v>18.716837339678946</v>
      </c>
    </row>
    <row r="127" spans="1:7" x14ac:dyDescent="0.35">
      <c r="A127" t="s">
        <v>331</v>
      </c>
      <c r="B127" s="11">
        <v>43835</v>
      </c>
      <c r="C127">
        <v>8</v>
      </c>
      <c r="D127">
        <v>20.2</v>
      </c>
      <c r="E127">
        <v>24</v>
      </c>
      <c r="F127">
        <v>14</v>
      </c>
      <c r="G127" s="14">
        <f t="shared" si="1"/>
        <v>16.816658407662327</v>
      </c>
    </row>
    <row r="128" spans="1:7" x14ac:dyDescent="0.35">
      <c r="A128" t="s">
        <v>331</v>
      </c>
      <c r="B128" s="11">
        <v>43836</v>
      </c>
      <c r="C128">
        <v>8</v>
      </c>
      <c r="D128">
        <v>19.899999999999999</v>
      </c>
      <c r="E128">
        <v>24</v>
      </c>
      <c r="F128">
        <v>13.7</v>
      </c>
      <c r="G128" s="14">
        <f t="shared" si="1"/>
        <v>16.511511136174057</v>
      </c>
    </row>
    <row r="129" spans="1:7" x14ac:dyDescent="0.35">
      <c r="A129" t="s">
        <v>331</v>
      </c>
      <c r="B129" s="11">
        <v>43837</v>
      </c>
      <c r="C129">
        <v>8</v>
      </c>
      <c r="D129">
        <v>20.2</v>
      </c>
      <c r="E129">
        <v>24</v>
      </c>
      <c r="F129">
        <v>13.4</v>
      </c>
      <c r="G129" s="14">
        <f t="shared" si="1"/>
        <v>16.452355454463049</v>
      </c>
    </row>
    <row r="130" spans="1:7" x14ac:dyDescent="0.35">
      <c r="A130" t="s">
        <v>331</v>
      </c>
      <c r="B130" s="11">
        <v>43838</v>
      </c>
      <c r="C130">
        <v>8</v>
      </c>
      <c r="D130">
        <v>19.5</v>
      </c>
      <c r="E130">
        <v>24</v>
      </c>
      <c r="F130">
        <v>12.4</v>
      </c>
      <c r="G130" s="14">
        <f t="shared" ref="G130:G181" si="2">GEOMEAN(D130,F130)</f>
        <v>15.549919613940132</v>
      </c>
    </row>
    <row r="131" spans="1:7" x14ac:dyDescent="0.35">
      <c r="A131" t="s">
        <v>331</v>
      </c>
      <c r="B131" s="11">
        <v>43839</v>
      </c>
      <c r="C131">
        <v>8</v>
      </c>
      <c r="D131">
        <v>20.100000000000001</v>
      </c>
      <c r="E131">
        <v>24</v>
      </c>
      <c r="F131">
        <v>13.5</v>
      </c>
      <c r="G131" s="14">
        <f t="shared" si="2"/>
        <v>16.472704695950814</v>
      </c>
    </row>
    <row r="132" spans="1:7" x14ac:dyDescent="0.35">
      <c r="A132" t="s">
        <v>331</v>
      </c>
      <c r="B132" s="11">
        <v>43840</v>
      </c>
      <c r="C132">
        <v>8</v>
      </c>
      <c r="D132">
        <v>21.4</v>
      </c>
      <c r="E132">
        <v>24</v>
      </c>
      <c r="F132">
        <v>13.9</v>
      </c>
      <c r="G132" s="14">
        <f t="shared" si="2"/>
        <v>17.247028729610211</v>
      </c>
    </row>
    <row r="133" spans="1:7" x14ac:dyDescent="0.35">
      <c r="A133" t="s">
        <v>331</v>
      </c>
      <c r="B133" s="11">
        <v>43841</v>
      </c>
      <c r="C133">
        <v>8</v>
      </c>
      <c r="D133">
        <v>21.1</v>
      </c>
      <c r="E133">
        <v>24</v>
      </c>
      <c r="F133">
        <v>13.9</v>
      </c>
      <c r="G133" s="14">
        <f t="shared" si="2"/>
        <v>17.125711664044797</v>
      </c>
    </row>
    <row r="134" spans="1:7" x14ac:dyDescent="0.35">
      <c r="A134" t="s">
        <v>331</v>
      </c>
      <c r="B134" s="11">
        <v>43842</v>
      </c>
      <c r="C134">
        <v>8</v>
      </c>
      <c r="D134">
        <v>22.2</v>
      </c>
      <c r="E134">
        <v>24</v>
      </c>
      <c r="F134">
        <v>13.7</v>
      </c>
      <c r="G134" s="14">
        <f t="shared" si="2"/>
        <v>17.439610087384409</v>
      </c>
    </row>
    <row r="135" spans="1:7" x14ac:dyDescent="0.35">
      <c r="A135" t="s">
        <v>331</v>
      </c>
      <c r="B135" s="11">
        <v>43843</v>
      </c>
      <c r="C135">
        <v>8</v>
      </c>
      <c r="D135">
        <v>22.2</v>
      </c>
      <c r="E135">
        <v>24</v>
      </c>
      <c r="F135">
        <v>14.6</v>
      </c>
      <c r="G135" s="14">
        <f t="shared" si="2"/>
        <v>18.0033330247485</v>
      </c>
    </row>
    <row r="136" spans="1:7" x14ac:dyDescent="0.35">
      <c r="A136" t="s">
        <v>331</v>
      </c>
      <c r="B136" s="11">
        <v>43844</v>
      </c>
      <c r="C136">
        <v>8</v>
      </c>
      <c r="D136">
        <v>22.8</v>
      </c>
      <c r="E136">
        <v>24</v>
      </c>
      <c r="F136">
        <v>13.9</v>
      </c>
      <c r="G136" s="14">
        <f t="shared" si="2"/>
        <v>17.802247049178934</v>
      </c>
    </row>
    <row r="137" spans="1:7" x14ac:dyDescent="0.35">
      <c r="A137" t="s">
        <v>331</v>
      </c>
      <c r="B137" s="11">
        <v>43845</v>
      </c>
      <c r="C137">
        <v>8</v>
      </c>
      <c r="D137">
        <v>19</v>
      </c>
      <c r="E137">
        <v>24</v>
      </c>
      <c r="F137">
        <v>14.4</v>
      </c>
      <c r="G137" s="14">
        <f t="shared" si="2"/>
        <v>16.540858502508268</v>
      </c>
    </row>
    <row r="138" spans="1:7" x14ac:dyDescent="0.35">
      <c r="A138" t="s">
        <v>331</v>
      </c>
      <c r="B138" s="11">
        <v>43846</v>
      </c>
      <c r="C138">
        <v>8</v>
      </c>
      <c r="D138">
        <v>20</v>
      </c>
      <c r="E138">
        <v>24</v>
      </c>
      <c r="F138">
        <v>14.8</v>
      </c>
      <c r="G138" s="14">
        <f t="shared" si="2"/>
        <v>17.204650534085253</v>
      </c>
    </row>
    <row r="139" spans="1:7" x14ac:dyDescent="0.35">
      <c r="A139" t="s">
        <v>331</v>
      </c>
      <c r="B139" s="11">
        <v>43847</v>
      </c>
      <c r="C139">
        <v>8</v>
      </c>
      <c r="D139">
        <v>21.4</v>
      </c>
      <c r="E139">
        <v>24</v>
      </c>
      <c r="F139">
        <v>15</v>
      </c>
      <c r="G139" s="14">
        <f t="shared" si="2"/>
        <v>17.916472867168917</v>
      </c>
    </row>
    <row r="140" spans="1:7" x14ac:dyDescent="0.35">
      <c r="A140" t="s">
        <v>331</v>
      </c>
      <c r="B140" s="11">
        <v>43848</v>
      </c>
      <c r="C140">
        <v>8</v>
      </c>
      <c r="D140">
        <v>20.9</v>
      </c>
      <c r="E140">
        <v>24</v>
      </c>
      <c r="F140">
        <v>14.6</v>
      </c>
      <c r="G140" s="14">
        <f t="shared" si="2"/>
        <v>17.468256925062672</v>
      </c>
    </row>
    <row r="141" spans="1:7" x14ac:dyDescent="0.35">
      <c r="A141" t="s">
        <v>331</v>
      </c>
      <c r="B141" s="11">
        <v>43849</v>
      </c>
      <c r="C141">
        <v>8</v>
      </c>
      <c r="D141">
        <v>22.4</v>
      </c>
      <c r="E141">
        <v>24</v>
      </c>
      <c r="F141">
        <v>15.2</v>
      </c>
      <c r="G141" s="14">
        <f t="shared" si="2"/>
        <v>18.452100151473271</v>
      </c>
    </row>
    <row r="142" spans="1:7" x14ac:dyDescent="0.35">
      <c r="A142" t="s">
        <v>331</v>
      </c>
      <c r="B142" s="11">
        <v>43850</v>
      </c>
      <c r="C142">
        <v>8</v>
      </c>
      <c r="D142">
        <v>24.8</v>
      </c>
      <c r="E142">
        <v>24</v>
      </c>
      <c r="F142">
        <v>16.2</v>
      </c>
      <c r="G142" s="14">
        <f t="shared" si="2"/>
        <v>20.043951706188079</v>
      </c>
    </row>
    <row r="143" spans="1:7" x14ac:dyDescent="0.35">
      <c r="A143" t="s">
        <v>331</v>
      </c>
      <c r="B143" s="11">
        <v>43851</v>
      </c>
      <c r="C143">
        <v>8</v>
      </c>
      <c r="D143">
        <v>26.3</v>
      </c>
      <c r="E143">
        <v>24</v>
      </c>
      <c r="F143">
        <v>15.5</v>
      </c>
      <c r="G143" s="14">
        <f t="shared" si="2"/>
        <v>20.190344226882313</v>
      </c>
    </row>
    <row r="144" spans="1:7" x14ac:dyDescent="0.35">
      <c r="A144" t="s">
        <v>331</v>
      </c>
      <c r="B144" s="11">
        <v>43852</v>
      </c>
      <c r="C144">
        <v>8</v>
      </c>
      <c r="D144">
        <v>25.5</v>
      </c>
      <c r="E144">
        <v>24</v>
      </c>
      <c r="F144">
        <v>15.4</v>
      </c>
      <c r="G144" s="14">
        <f t="shared" si="2"/>
        <v>19.81665965797465</v>
      </c>
    </row>
    <row r="145" spans="1:7" x14ac:dyDescent="0.35">
      <c r="A145" t="s">
        <v>331</v>
      </c>
      <c r="B145" s="11">
        <v>43853</v>
      </c>
      <c r="C145">
        <v>8</v>
      </c>
      <c r="D145">
        <v>23.7</v>
      </c>
      <c r="E145">
        <v>24</v>
      </c>
      <c r="F145">
        <v>15.7</v>
      </c>
      <c r="G145" s="14">
        <f t="shared" si="2"/>
        <v>19.289634522198703</v>
      </c>
    </row>
    <row r="146" spans="1:7" x14ac:dyDescent="0.35">
      <c r="A146" t="s">
        <v>331</v>
      </c>
      <c r="B146" s="11">
        <v>43854</v>
      </c>
      <c r="C146">
        <v>8</v>
      </c>
      <c r="D146">
        <v>26</v>
      </c>
      <c r="E146">
        <v>24</v>
      </c>
      <c r="F146">
        <v>16.899999999999999</v>
      </c>
      <c r="G146" s="14">
        <f t="shared" si="2"/>
        <v>20.961870145576228</v>
      </c>
    </row>
    <row r="147" spans="1:7" x14ac:dyDescent="0.35">
      <c r="A147" t="s">
        <v>331</v>
      </c>
      <c r="B147" s="11">
        <v>43855</v>
      </c>
      <c r="C147">
        <v>8</v>
      </c>
      <c r="D147">
        <v>26.8</v>
      </c>
      <c r="E147">
        <v>24</v>
      </c>
      <c r="F147">
        <v>16.5</v>
      </c>
      <c r="G147" s="14">
        <f t="shared" si="2"/>
        <v>21.02855201862458</v>
      </c>
    </row>
    <row r="148" spans="1:7" x14ac:dyDescent="0.35">
      <c r="A148" t="s">
        <v>331</v>
      </c>
      <c r="B148" s="11">
        <v>43856</v>
      </c>
      <c r="C148">
        <v>8</v>
      </c>
      <c r="D148">
        <v>24.3</v>
      </c>
      <c r="E148">
        <v>24</v>
      </c>
      <c r="F148">
        <v>17.399999999999999</v>
      </c>
      <c r="G148" s="14">
        <f t="shared" si="2"/>
        <v>20.562587385832551</v>
      </c>
    </row>
    <row r="149" spans="1:7" x14ac:dyDescent="0.35">
      <c r="A149" t="s">
        <v>331</v>
      </c>
      <c r="B149" s="11">
        <v>43857</v>
      </c>
      <c r="C149">
        <v>8</v>
      </c>
      <c r="D149">
        <v>26.4</v>
      </c>
      <c r="E149">
        <v>24</v>
      </c>
      <c r="F149">
        <v>16.8</v>
      </c>
      <c r="G149" s="14">
        <f t="shared" si="2"/>
        <v>21.059914529741093</v>
      </c>
    </row>
    <row r="150" spans="1:7" x14ac:dyDescent="0.35">
      <c r="A150" t="s">
        <v>331</v>
      </c>
      <c r="B150" s="11">
        <v>43858</v>
      </c>
      <c r="C150">
        <v>8</v>
      </c>
      <c r="D150">
        <v>24.8</v>
      </c>
      <c r="E150">
        <v>24</v>
      </c>
      <c r="F150">
        <v>17.2</v>
      </c>
      <c r="G150" s="14">
        <f t="shared" si="2"/>
        <v>20.653329029480936</v>
      </c>
    </row>
    <row r="151" spans="1:7" x14ac:dyDescent="0.35">
      <c r="A151" t="s">
        <v>331</v>
      </c>
      <c r="B151" s="11">
        <v>43859</v>
      </c>
      <c r="C151">
        <v>8</v>
      </c>
      <c r="D151">
        <v>26.4</v>
      </c>
      <c r="E151">
        <v>24</v>
      </c>
      <c r="F151">
        <v>18.399999999999999</v>
      </c>
      <c r="G151" s="14">
        <f t="shared" si="2"/>
        <v>22.039963702329455</v>
      </c>
    </row>
    <row r="152" spans="1:7" x14ac:dyDescent="0.35">
      <c r="A152" t="s">
        <v>331</v>
      </c>
      <c r="B152" s="11">
        <v>43860</v>
      </c>
      <c r="C152">
        <v>8</v>
      </c>
      <c r="D152">
        <v>27.9</v>
      </c>
      <c r="E152">
        <v>24</v>
      </c>
      <c r="F152">
        <v>18.399999999999999</v>
      </c>
      <c r="G152" s="14">
        <f t="shared" si="2"/>
        <v>22.657449106199046</v>
      </c>
    </row>
    <row r="153" spans="1:7" x14ac:dyDescent="0.35">
      <c r="A153" t="s">
        <v>331</v>
      </c>
      <c r="B153" s="11">
        <v>43861</v>
      </c>
      <c r="C153">
        <v>8</v>
      </c>
      <c r="D153">
        <v>26.8</v>
      </c>
      <c r="E153">
        <v>24</v>
      </c>
      <c r="F153">
        <v>18</v>
      </c>
      <c r="G153" s="14">
        <f t="shared" si="2"/>
        <v>21.963606261267753</v>
      </c>
    </row>
    <row r="154" spans="1:7" x14ac:dyDescent="0.35">
      <c r="A154" t="s">
        <v>331</v>
      </c>
      <c r="B154" s="11">
        <v>43862</v>
      </c>
      <c r="C154">
        <v>8</v>
      </c>
      <c r="D154">
        <v>26.9</v>
      </c>
      <c r="E154">
        <v>24</v>
      </c>
      <c r="F154">
        <v>17.2</v>
      </c>
      <c r="G154" s="14">
        <f t="shared" si="2"/>
        <v>21.50999767549964</v>
      </c>
    </row>
    <row r="155" spans="1:7" x14ac:dyDescent="0.35">
      <c r="A155" t="s">
        <v>331</v>
      </c>
      <c r="B155" s="11">
        <v>43863</v>
      </c>
      <c r="C155">
        <v>8</v>
      </c>
      <c r="D155">
        <v>25.6</v>
      </c>
      <c r="E155">
        <v>24</v>
      </c>
      <c r="F155">
        <v>17.8</v>
      </c>
      <c r="G155" s="14">
        <f t="shared" si="2"/>
        <v>21.346662502602136</v>
      </c>
    </row>
    <row r="156" spans="1:7" x14ac:dyDescent="0.35">
      <c r="A156" t="s">
        <v>331</v>
      </c>
      <c r="B156" s="11">
        <v>43864</v>
      </c>
      <c r="C156">
        <v>8</v>
      </c>
      <c r="D156">
        <v>26.9</v>
      </c>
      <c r="E156">
        <v>24</v>
      </c>
      <c r="F156">
        <v>18.399999999999999</v>
      </c>
      <c r="G156" s="14">
        <f t="shared" si="2"/>
        <v>22.247696509976038</v>
      </c>
    </row>
    <row r="157" spans="1:7" x14ac:dyDescent="0.35">
      <c r="A157" t="s">
        <v>331</v>
      </c>
      <c r="B157" s="11">
        <v>43865</v>
      </c>
      <c r="C157">
        <v>8</v>
      </c>
      <c r="D157">
        <v>28.5</v>
      </c>
      <c r="E157">
        <v>24</v>
      </c>
      <c r="F157">
        <v>18.2</v>
      </c>
      <c r="G157" s="14">
        <f t="shared" si="2"/>
        <v>22.774986278810356</v>
      </c>
    </row>
    <row r="158" spans="1:7" x14ac:dyDescent="0.35">
      <c r="A158" t="s">
        <v>331</v>
      </c>
      <c r="B158" s="11">
        <v>43866</v>
      </c>
      <c r="C158">
        <v>8</v>
      </c>
      <c r="D158">
        <v>25.3</v>
      </c>
      <c r="E158">
        <v>24</v>
      </c>
      <c r="F158">
        <v>17.7</v>
      </c>
      <c r="G158" s="14">
        <f t="shared" si="2"/>
        <v>21.161521684415796</v>
      </c>
    </row>
    <row r="159" spans="1:7" x14ac:dyDescent="0.35">
      <c r="A159" t="s">
        <v>331</v>
      </c>
      <c r="B159" s="11">
        <v>43867</v>
      </c>
      <c r="C159">
        <v>8</v>
      </c>
      <c r="D159">
        <v>23.4</v>
      </c>
      <c r="E159">
        <v>24</v>
      </c>
      <c r="F159">
        <v>15.2</v>
      </c>
      <c r="G159" s="14">
        <f t="shared" si="2"/>
        <v>18.85948037460205</v>
      </c>
    </row>
    <row r="160" spans="1:7" x14ac:dyDescent="0.35">
      <c r="A160" t="s">
        <v>331</v>
      </c>
      <c r="B160" s="11">
        <v>43868</v>
      </c>
      <c r="C160">
        <v>8</v>
      </c>
      <c r="D160">
        <v>23.1</v>
      </c>
      <c r="E160">
        <v>24</v>
      </c>
      <c r="F160">
        <v>15.2</v>
      </c>
      <c r="G160" s="14">
        <f t="shared" si="2"/>
        <v>18.738196284594736</v>
      </c>
    </row>
    <row r="161" spans="1:7" x14ac:dyDescent="0.35">
      <c r="A161" t="s">
        <v>331</v>
      </c>
      <c r="B161" s="11">
        <v>43869</v>
      </c>
      <c r="C161">
        <v>8</v>
      </c>
      <c r="D161">
        <v>24.5</v>
      </c>
      <c r="E161">
        <v>24</v>
      </c>
      <c r="F161">
        <v>17</v>
      </c>
      <c r="G161" s="14">
        <f t="shared" si="2"/>
        <v>20.40833163195855</v>
      </c>
    </row>
    <row r="162" spans="1:7" x14ac:dyDescent="0.35">
      <c r="A162" t="s">
        <v>331</v>
      </c>
      <c r="B162" s="11">
        <v>43870</v>
      </c>
      <c r="C162">
        <v>8</v>
      </c>
      <c r="D162">
        <v>24.2</v>
      </c>
      <c r="E162">
        <v>24</v>
      </c>
      <c r="F162">
        <v>15.4</v>
      </c>
      <c r="G162" s="14">
        <f t="shared" si="2"/>
        <v>19.304921652262667</v>
      </c>
    </row>
    <row r="163" spans="1:7" x14ac:dyDescent="0.35">
      <c r="A163" t="s">
        <v>331</v>
      </c>
      <c r="B163" s="11">
        <v>43872</v>
      </c>
      <c r="C163">
        <v>8</v>
      </c>
      <c r="D163">
        <v>24</v>
      </c>
      <c r="E163">
        <v>48</v>
      </c>
      <c r="F163">
        <v>14.4</v>
      </c>
      <c r="G163" s="14">
        <f t="shared" si="2"/>
        <v>18.590320061795602</v>
      </c>
    </row>
    <row r="164" spans="1:7" x14ac:dyDescent="0.35">
      <c r="A164" t="s">
        <v>331</v>
      </c>
      <c r="B164" s="11">
        <v>43873</v>
      </c>
      <c r="C164">
        <v>8</v>
      </c>
      <c r="D164">
        <v>24.2</v>
      </c>
      <c r="E164">
        <v>24</v>
      </c>
      <c r="F164">
        <v>14.8</v>
      </c>
      <c r="G164" s="14">
        <f t="shared" si="2"/>
        <v>18.925115587493778</v>
      </c>
    </row>
    <row r="165" spans="1:7" x14ac:dyDescent="0.35">
      <c r="A165" t="s">
        <v>331</v>
      </c>
      <c r="B165" s="11">
        <v>43874</v>
      </c>
      <c r="C165">
        <v>8</v>
      </c>
      <c r="D165">
        <v>23.3</v>
      </c>
      <c r="E165">
        <v>24</v>
      </c>
      <c r="F165">
        <v>15.8</v>
      </c>
      <c r="G165" s="14">
        <f t="shared" si="2"/>
        <v>19.186974748511034</v>
      </c>
    </row>
    <row r="166" spans="1:7" x14ac:dyDescent="0.35">
      <c r="A166" t="s">
        <v>331</v>
      </c>
      <c r="B166" s="11">
        <v>43875</v>
      </c>
      <c r="C166">
        <v>8</v>
      </c>
      <c r="D166">
        <v>24</v>
      </c>
      <c r="E166">
        <v>24</v>
      </c>
      <c r="F166">
        <v>16</v>
      </c>
      <c r="G166" s="14">
        <f t="shared" si="2"/>
        <v>19.595917942265423</v>
      </c>
    </row>
    <row r="167" spans="1:7" x14ac:dyDescent="0.35">
      <c r="A167" t="s">
        <v>331</v>
      </c>
      <c r="B167" s="11">
        <v>43876</v>
      </c>
      <c r="C167">
        <v>8</v>
      </c>
      <c r="D167">
        <v>24.5</v>
      </c>
      <c r="E167">
        <v>24</v>
      </c>
      <c r="F167">
        <v>16.7</v>
      </c>
      <c r="G167" s="14">
        <f t="shared" si="2"/>
        <v>20.227456587519846</v>
      </c>
    </row>
    <row r="168" spans="1:7" x14ac:dyDescent="0.35">
      <c r="A168" t="s">
        <v>331</v>
      </c>
      <c r="B168" s="11">
        <v>43877</v>
      </c>
      <c r="C168">
        <v>8</v>
      </c>
      <c r="D168">
        <v>24.4</v>
      </c>
      <c r="E168">
        <v>24</v>
      </c>
      <c r="F168">
        <v>16.399999999999999</v>
      </c>
      <c r="G168" s="14">
        <f t="shared" si="2"/>
        <v>20.003999600079979</v>
      </c>
    </row>
    <row r="169" spans="1:7" x14ac:dyDescent="0.35">
      <c r="A169" t="s">
        <v>331</v>
      </c>
      <c r="B169" s="11">
        <v>43878</v>
      </c>
      <c r="C169">
        <v>8</v>
      </c>
      <c r="D169">
        <v>23.7</v>
      </c>
      <c r="E169">
        <v>24</v>
      </c>
      <c r="F169">
        <v>18.8</v>
      </c>
      <c r="G169" s="14">
        <f t="shared" si="2"/>
        <v>21.10829220946119</v>
      </c>
    </row>
    <row r="170" spans="1:7" x14ac:dyDescent="0.35">
      <c r="A170" t="s">
        <v>331</v>
      </c>
      <c r="B170" s="11">
        <v>43879</v>
      </c>
      <c r="C170">
        <v>8</v>
      </c>
      <c r="D170">
        <v>25.4</v>
      </c>
      <c r="E170">
        <v>24</v>
      </c>
      <c r="F170">
        <v>18.399999999999999</v>
      </c>
      <c r="G170" s="14">
        <f t="shared" si="2"/>
        <v>21.618510586994653</v>
      </c>
    </row>
    <row r="171" spans="1:7" x14ac:dyDescent="0.35">
      <c r="A171" t="s">
        <v>331</v>
      </c>
      <c r="B171" s="11">
        <v>43880</v>
      </c>
      <c r="C171">
        <v>8</v>
      </c>
      <c r="D171">
        <v>24.6</v>
      </c>
      <c r="E171">
        <v>24</v>
      </c>
      <c r="F171">
        <v>18.600000000000001</v>
      </c>
      <c r="G171" s="14">
        <f t="shared" si="2"/>
        <v>21.390652163971065</v>
      </c>
    </row>
    <row r="172" spans="1:7" x14ac:dyDescent="0.35">
      <c r="A172" t="s">
        <v>331</v>
      </c>
      <c r="B172" s="11">
        <v>43881</v>
      </c>
      <c r="C172">
        <v>8</v>
      </c>
      <c r="D172">
        <v>25.6</v>
      </c>
      <c r="E172">
        <v>24</v>
      </c>
      <c r="F172">
        <v>17.600000000000001</v>
      </c>
      <c r="G172" s="14">
        <f t="shared" si="2"/>
        <v>21.226398658274562</v>
      </c>
    </row>
    <row r="173" spans="1:7" x14ac:dyDescent="0.35">
      <c r="A173" t="s">
        <v>331</v>
      </c>
      <c r="B173" s="11">
        <v>43882</v>
      </c>
      <c r="C173">
        <v>8</v>
      </c>
      <c r="D173">
        <v>28.4</v>
      </c>
      <c r="E173">
        <v>24</v>
      </c>
      <c r="F173">
        <v>17.8</v>
      </c>
      <c r="G173" s="14">
        <f t="shared" si="2"/>
        <v>22.483771925546655</v>
      </c>
    </row>
    <row r="174" spans="1:7" x14ac:dyDescent="0.35">
      <c r="A174" t="s">
        <v>331</v>
      </c>
      <c r="B174" s="11">
        <v>43883</v>
      </c>
      <c r="C174">
        <v>8</v>
      </c>
      <c r="D174">
        <v>25.2</v>
      </c>
      <c r="E174">
        <v>24</v>
      </c>
      <c r="F174">
        <v>19.3</v>
      </c>
      <c r="G174" s="14">
        <f t="shared" si="2"/>
        <v>22.053571139386925</v>
      </c>
    </row>
    <row r="175" spans="1:7" x14ac:dyDescent="0.35">
      <c r="A175" t="s">
        <v>331</v>
      </c>
      <c r="B175" s="11">
        <v>43884</v>
      </c>
      <c r="C175">
        <v>8</v>
      </c>
      <c r="D175">
        <v>24.8</v>
      </c>
      <c r="E175">
        <v>24</v>
      </c>
      <c r="F175">
        <v>15.5</v>
      </c>
      <c r="G175" s="14">
        <f t="shared" si="2"/>
        <v>19.606121493043954</v>
      </c>
    </row>
    <row r="176" spans="1:7" x14ac:dyDescent="0.35">
      <c r="A176" t="s">
        <v>331</v>
      </c>
      <c r="B176" s="11">
        <v>43885</v>
      </c>
      <c r="C176">
        <v>8</v>
      </c>
      <c r="D176">
        <v>22.4</v>
      </c>
      <c r="E176">
        <v>24</v>
      </c>
      <c r="F176">
        <v>14</v>
      </c>
      <c r="G176" s="14">
        <f t="shared" si="2"/>
        <v>17.708754896942924</v>
      </c>
    </row>
    <row r="177" spans="1:7" x14ac:dyDescent="0.35">
      <c r="A177" t="s">
        <v>331</v>
      </c>
      <c r="B177" s="11">
        <v>43886</v>
      </c>
      <c r="C177">
        <v>8</v>
      </c>
      <c r="D177">
        <v>24.4</v>
      </c>
      <c r="E177">
        <v>24</v>
      </c>
      <c r="F177">
        <v>14</v>
      </c>
      <c r="G177" s="14">
        <f t="shared" si="2"/>
        <v>18.482424083436673</v>
      </c>
    </row>
    <row r="178" spans="1:7" x14ac:dyDescent="0.35">
      <c r="A178" t="s">
        <v>331</v>
      </c>
      <c r="B178" s="11">
        <v>43887</v>
      </c>
      <c r="C178">
        <v>8</v>
      </c>
      <c r="D178">
        <v>23.2</v>
      </c>
      <c r="E178">
        <v>24</v>
      </c>
      <c r="F178">
        <v>16.3</v>
      </c>
      <c r="G178" s="14">
        <f t="shared" si="2"/>
        <v>19.446336415890784</v>
      </c>
    </row>
    <row r="179" spans="1:7" x14ac:dyDescent="0.35">
      <c r="A179" t="s">
        <v>331</v>
      </c>
      <c r="B179" s="11">
        <v>43888</v>
      </c>
      <c r="C179">
        <v>8</v>
      </c>
      <c r="D179">
        <v>24.4</v>
      </c>
      <c r="E179">
        <v>24</v>
      </c>
      <c r="F179">
        <v>17</v>
      </c>
      <c r="G179" s="14">
        <f t="shared" si="2"/>
        <v>20.366639388961545</v>
      </c>
    </row>
    <row r="180" spans="1:7" x14ac:dyDescent="0.35">
      <c r="A180" t="s">
        <v>331</v>
      </c>
      <c r="B180" s="11">
        <v>43889</v>
      </c>
      <c r="C180">
        <v>8</v>
      </c>
      <c r="D180">
        <v>24.7</v>
      </c>
      <c r="E180">
        <v>24</v>
      </c>
      <c r="F180">
        <v>17.899999999999999</v>
      </c>
      <c r="G180" s="14">
        <f t="shared" si="2"/>
        <v>21.02688754904063</v>
      </c>
    </row>
    <row r="181" spans="1:7" x14ac:dyDescent="0.35">
      <c r="A181" t="s">
        <v>331</v>
      </c>
      <c r="B181" s="11">
        <v>43890</v>
      </c>
      <c r="C181">
        <v>8</v>
      </c>
      <c r="D181">
        <v>25</v>
      </c>
      <c r="E181">
        <v>24</v>
      </c>
      <c r="F181">
        <v>17.600000000000001</v>
      </c>
      <c r="G181" s="14">
        <f t="shared" si="2"/>
        <v>20.976176963403031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157B-A94C-4D11-8D57-A397CA4007AF}">
  <dimension ref="A1:I96"/>
  <sheetViews>
    <sheetView workbookViewId="0">
      <selection activeCell="K7" sqref="K7"/>
    </sheetView>
  </sheetViews>
  <sheetFormatPr defaultRowHeight="14.5" x14ac:dyDescent="0.35"/>
  <cols>
    <col min="1" max="1" width="12.1796875" customWidth="1"/>
    <col min="2" max="2" width="9.81640625" customWidth="1"/>
    <col min="4" max="4" width="12.08984375" customWidth="1"/>
    <col min="5" max="5" width="15.90625" customWidth="1"/>
    <col min="6" max="6" width="15.36328125" customWidth="1"/>
    <col min="7" max="7" width="15.26953125" customWidth="1"/>
    <col min="8" max="8" width="14.7265625" customWidth="1"/>
    <col min="9" max="9" width="15.54296875" customWidth="1"/>
  </cols>
  <sheetData>
    <row r="1" spans="1:9" ht="15" thickBot="1" x14ac:dyDescent="0.4">
      <c r="A1" s="17" t="s">
        <v>335</v>
      </c>
      <c r="B1" s="17" t="s">
        <v>336</v>
      </c>
      <c r="C1" s="17" t="s">
        <v>337</v>
      </c>
      <c r="D1" s="17" t="s">
        <v>338</v>
      </c>
      <c r="E1" s="17" t="s">
        <v>339</v>
      </c>
      <c r="F1" s="17" t="s">
        <v>340</v>
      </c>
      <c r="G1" s="17" t="s">
        <v>341</v>
      </c>
      <c r="H1" s="17" t="s">
        <v>342</v>
      </c>
      <c r="I1" s="18" t="s">
        <v>343</v>
      </c>
    </row>
    <row r="2" spans="1:9" x14ac:dyDescent="0.35">
      <c r="A2" t="s">
        <v>53</v>
      </c>
      <c r="B2" t="s">
        <v>344</v>
      </c>
      <c r="C2" s="5">
        <v>1</v>
      </c>
      <c r="D2">
        <v>4</v>
      </c>
      <c r="E2">
        <v>3</v>
      </c>
      <c r="F2">
        <v>0</v>
      </c>
      <c r="G2">
        <v>0</v>
      </c>
      <c r="H2" t="s">
        <v>345</v>
      </c>
      <c r="I2" s="3" t="s">
        <v>142</v>
      </c>
    </row>
    <row r="3" spans="1:9" x14ac:dyDescent="0.35">
      <c r="A3" t="s">
        <v>38</v>
      </c>
      <c r="B3" t="s">
        <v>346</v>
      </c>
      <c r="C3" s="5">
        <v>1</v>
      </c>
      <c r="D3">
        <v>4</v>
      </c>
      <c r="E3">
        <v>3</v>
      </c>
      <c r="F3">
        <v>3</v>
      </c>
      <c r="G3">
        <v>3</v>
      </c>
      <c r="H3" t="s">
        <v>347</v>
      </c>
      <c r="I3" s="3" t="s">
        <v>127</v>
      </c>
    </row>
    <row r="4" spans="1:9" x14ac:dyDescent="0.35">
      <c r="A4" t="s">
        <v>25</v>
      </c>
      <c r="B4" t="s">
        <v>346</v>
      </c>
      <c r="C4" s="5">
        <v>1</v>
      </c>
      <c r="D4">
        <v>4</v>
      </c>
      <c r="E4">
        <v>4</v>
      </c>
      <c r="F4">
        <v>4</v>
      </c>
      <c r="G4">
        <v>4</v>
      </c>
      <c r="H4" t="s">
        <v>348</v>
      </c>
      <c r="I4" s="3" t="s">
        <v>114</v>
      </c>
    </row>
    <row r="5" spans="1:9" x14ac:dyDescent="0.35">
      <c r="A5" t="s">
        <v>26</v>
      </c>
      <c r="B5" t="s">
        <v>344</v>
      </c>
      <c r="C5" s="5">
        <v>1</v>
      </c>
      <c r="D5">
        <v>3</v>
      </c>
      <c r="E5">
        <v>0</v>
      </c>
      <c r="F5">
        <v>0</v>
      </c>
      <c r="G5">
        <v>0</v>
      </c>
      <c r="H5" t="s">
        <v>348</v>
      </c>
      <c r="I5" s="3" t="s">
        <v>115</v>
      </c>
    </row>
    <row r="6" spans="1:9" x14ac:dyDescent="0.35">
      <c r="A6" t="s">
        <v>26</v>
      </c>
      <c r="B6" t="s">
        <v>346</v>
      </c>
      <c r="C6" s="5" t="s">
        <v>252</v>
      </c>
      <c r="D6">
        <v>3</v>
      </c>
      <c r="E6">
        <v>2</v>
      </c>
      <c r="F6">
        <v>2</v>
      </c>
      <c r="G6">
        <v>2</v>
      </c>
      <c r="H6" t="s">
        <v>348</v>
      </c>
      <c r="I6" s="3" t="s">
        <v>115</v>
      </c>
    </row>
    <row r="7" spans="1:9" x14ac:dyDescent="0.35">
      <c r="A7" t="s">
        <v>16</v>
      </c>
      <c r="B7" t="s">
        <v>346</v>
      </c>
      <c r="C7" s="5">
        <v>1</v>
      </c>
      <c r="D7">
        <v>4</v>
      </c>
      <c r="E7">
        <v>3</v>
      </c>
      <c r="F7">
        <v>3</v>
      </c>
      <c r="G7">
        <v>3</v>
      </c>
      <c r="H7" t="s">
        <v>347</v>
      </c>
      <c r="I7" s="3" t="s">
        <v>105</v>
      </c>
    </row>
    <row r="8" spans="1:9" x14ac:dyDescent="0.35">
      <c r="A8" t="s">
        <v>16</v>
      </c>
      <c r="B8" t="s">
        <v>344</v>
      </c>
      <c r="C8" s="5">
        <v>2</v>
      </c>
      <c r="D8">
        <v>4</v>
      </c>
      <c r="E8">
        <v>1</v>
      </c>
      <c r="F8">
        <v>0</v>
      </c>
      <c r="G8">
        <v>0</v>
      </c>
      <c r="H8" t="s">
        <v>347</v>
      </c>
      <c r="I8" s="3" t="s">
        <v>105</v>
      </c>
    </row>
    <row r="9" spans="1:9" x14ac:dyDescent="0.35">
      <c r="A9" t="s">
        <v>33</v>
      </c>
      <c r="B9" t="s">
        <v>346</v>
      </c>
      <c r="C9" s="5">
        <v>1</v>
      </c>
      <c r="D9">
        <v>4</v>
      </c>
      <c r="E9">
        <v>3</v>
      </c>
      <c r="F9">
        <v>3</v>
      </c>
      <c r="G9">
        <v>3</v>
      </c>
      <c r="H9" t="s">
        <v>345</v>
      </c>
      <c r="I9" s="3" t="s">
        <v>122</v>
      </c>
    </row>
    <row r="10" spans="1:9" x14ac:dyDescent="0.35">
      <c r="A10" t="s">
        <v>55</v>
      </c>
      <c r="B10" t="s">
        <v>346</v>
      </c>
      <c r="C10" s="5">
        <v>1</v>
      </c>
      <c r="D10">
        <v>4</v>
      </c>
      <c r="E10">
        <v>4</v>
      </c>
      <c r="F10">
        <v>4</v>
      </c>
      <c r="G10">
        <v>4</v>
      </c>
      <c r="H10" t="s">
        <v>347</v>
      </c>
      <c r="I10" s="3" t="s">
        <v>144</v>
      </c>
    </row>
    <row r="11" spans="1:9" x14ac:dyDescent="0.35">
      <c r="A11" t="s">
        <v>43</v>
      </c>
      <c r="B11" t="s">
        <v>346</v>
      </c>
      <c r="C11" s="5">
        <v>1</v>
      </c>
      <c r="D11">
        <v>4</v>
      </c>
      <c r="E11">
        <v>4</v>
      </c>
      <c r="F11">
        <v>3</v>
      </c>
      <c r="G11">
        <v>3</v>
      </c>
      <c r="H11" t="s">
        <v>349</v>
      </c>
      <c r="I11" s="3" t="s">
        <v>132</v>
      </c>
    </row>
    <row r="12" spans="1:9" x14ac:dyDescent="0.35">
      <c r="A12" t="s">
        <v>68</v>
      </c>
      <c r="B12" t="s">
        <v>346</v>
      </c>
      <c r="C12" s="5">
        <v>1</v>
      </c>
      <c r="D12">
        <v>3</v>
      </c>
      <c r="E12">
        <v>3</v>
      </c>
      <c r="F12">
        <v>3</v>
      </c>
      <c r="G12">
        <v>3</v>
      </c>
      <c r="H12" t="s">
        <v>345</v>
      </c>
      <c r="I12" s="3" t="s">
        <v>157</v>
      </c>
    </row>
    <row r="13" spans="1:9" x14ac:dyDescent="0.35">
      <c r="A13" t="s">
        <v>42</v>
      </c>
      <c r="B13" t="s">
        <v>346</v>
      </c>
      <c r="C13" s="5">
        <v>1</v>
      </c>
      <c r="D13">
        <v>4</v>
      </c>
      <c r="E13">
        <v>4</v>
      </c>
      <c r="F13">
        <v>2</v>
      </c>
      <c r="G13">
        <v>2</v>
      </c>
      <c r="H13" t="s">
        <v>345</v>
      </c>
      <c r="I13" s="3" t="s">
        <v>131</v>
      </c>
    </row>
    <row r="14" spans="1:9" x14ac:dyDescent="0.35">
      <c r="A14" t="s">
        <v>10</v>
      </c>
      <c r="B14" t="s">
        <v>344</v>
      </c>
      <c r="C14" s="5">
        <v>1</v>
      </c>
      <c r="D14">
        <v>4</v>
      </c>
      <c r="E14">
        <v>0</v>
      </c>
      <c r="F14">
        <v>0</v>
      </c>
      <c r="G14">
        <v>0</v>
      </c>
      <c r="H14" t="s">
        <v>350</v>
      </c>
      <c r="I14" s="3" t="s">
        <v>99</v>
      </c>
    </row>
    <row r="15" spans="1:9" x14ac:dyDescent="0.35">
      <c r="A15" t="s">
        <v>20</v>
      </c>
      <c r="B15" t="s">
        <v>346</v>
      </c>
      <c r="C15" s="5">
        <v>1</v>
      </c>
      <c r="D15">
        <v>4</v>
      </c>
      <c r="E15">
        <v>4</v>
      </c>
      <c r="F15">
        <v>3</v>
      </c>
      <c r="G15">
        <v>3</v>
      </c>
      <c r="H15" t="s">
        <v>351</v>
      </c>
      <c r="I15" s="3" t="s">
        <v>109</v>
      </c>
    </row>
    <row r="16" spans="1:9" x14ac:dyDescent="0.35">
      <c r="A16" t="s">
        <v>58</v>
      </c>
      <c r="B16" t="s">
        <v>346</v>
      </c>
      <c r="C16" s="5">
        <v>1</v>
      </c>
      <c r="D16">
        <v>3</v>
      </c>
      <c r="E16">
        <v>1</v>
      </c>
      <c r="F16">
        <v>1</v>
      </c>
      <c r="G16">
        <v>1</v>
      </c>
      <c r="H16" t="s">
        <v>347</v>
      </c>
      <c r="I16" s="3" t="s">
        <v>147</v>
      </c>
    </row>
    <row r="17" spans="1:9" x14ac:dyDescent="0.35">
      <c r="A17" t="s">
        <v>15</v>
      </c>
      <c r="B17" t="s">
        <v>346</v>
      </c>
      <c r="C17" s="5">
        <v>1</v>
      </c>
      <c r="D17">
        <v>4</v>
      </c>
      <c r="E17">
        <v>2</v>
      </c>
      <c r="F17">
        <v>2</v>
      </c>
      <c r="G17">
        <v>2</v>
      </c>
      <c r="H17" t="s">
        <v>347</v>
      </c>
      <c r="I17" s="3" t="s">
        <v>104</v>
      </c>
    </row>
    <row r="18" spans="1:9" x14ac:dyDescent="0.35">
      <c r="A18" t="s">
        <v>30</v>
      </c>
      <c r="B18" t="s">
        <v>346</v>
      </c>
      <c r="C18" s="5">
        <v>1</v>
      </c>
      <c r="D18">
        <v>3</v>
      </c>
      <c r="E18">
        <v>3</v>
      </c>
      <c r="F18">
        <v>2</v>
      </c>
      <c r="G18">
        <v>2</v>
      </c>
      <c r="H18" t="s">
        <v>347</v>
      </c>
      <c r="I18" s="3" t="s">
        <v>119</v>
      </c>
    </row>
    <row r="19" spans="1:9" x14ac:dyDescent="0.35">
      <c r="A19" t="s">
        <v>32</v>
      </c>
      <c r="B19" t="s">
        <v>346</v>
      </c>
      <c r="C19" s="5">
        <v>1</v>
      </c>
      <c r="D19">
        <v>4</v>
      </c>
      <c r="E19">
        <v>4</v>
      </c>
      <c r="F19">
        <v>4</v>
      </c>
      <c r="G19">
        <v>4</v>
      </c>
      <c r="H19" t="s">
        <v>347</v>
      </c>
      <c r="I19" s="3" t="s">
        <v>121</v>
      </c>
    </row>
    <row r="20" spans="1:9" x14ac:dyDescent="0.35">
      <c r="A20" t="s">
        <v>87</v>
      </c>
      <c r="B20" t="s">
        <v>346</v>
      </c>
      <c r="C20" s="5" t="s">
        <v>252</v>
      </c>
      <c r="D20">
        <v>4</v>
      </c>
      <c r="E20">
        <v>2</v>
      </c>
      <c r="F20">
        <v>2</v>
      </c>
      <c r="G20">
        <v>2</v>
      </c>
      <c r="H20" t="s">
        <v>348</v>
      </c>
      <c r="I20" s="3" t="s">
        <v>120</v>
      </c>
    </row>
    <row r="21" spans="1:9" x14ac:dyDescent="0.35">
      <c r="A21" t="s">
        <v>31</v>
      </c>
      <c r="B21" t="s">
        <v>344</v>
      </c>
      <c r="C21" s="5">
        <v>1</v>
      </c>
      <c r="D21">
        <v>3</v>
      </c>
      <c r="E21">
        <v>2</v>
      </c>
      <c r="F21">
        <v>0</v>
      </c>
      <c r="G21">
        <v>0</v>
      </c>
      <c r="H21" t="s">
        <v>348</v>
      </c>
      <c r="I21" s="3" t="s">
        <v>120</v>
      </c>
    </row>
    <row r="22" spans="1:9" x14ac:dyDescent="0.35">
      <c r="A22" t="s">
        <v>71</v>
      </c>
      <c r="B22" t="s">
        <v>346</v>
      </c>
      <c r="C22" s="5">
        <v>1</v>
      </c>
      <c r="D22">
        <v>4</v>
      </c>
      <c r="E22">
        <v>4</v>
      </c>
      <c r="F22">
        <v>3</v>
      </c>
      <c r="G22">
        <v>3</v>
      </c>
      <c r="H22" t="s">
        <v>345</v>
      </c>
      <c r="I22" s="3" t="s">
        <v>160</v>
      </c>
    </row>
    <row r="23" spans="1:9" x14ac:dyDescent="0.35">
      <c r="A23" t="s">
        <v>92</v>
      </c>
      <c r="B23" t="s">
        <v>344</v>
      </c>
      <c r="C23" s="5">
        <v>1</v>
      </c>
      <c r="D23">
        <v>3</v>
      </c>
      <c r="E23">
        <v>2</v>
      </c>
      <c r="F23">
        <v>0</v>
      </c>
      <c r="G23">
        <v>0</v>
      </c>
      <c r="H23" t="s">
        <v>347</v>
      </c>
      <c r="I23" s="3" t="s">
        <v>176</v>
      </c>
    </row>
    <row r="24" spans="1:9" x14ac:dyDescent="0.35">
      <c r="A24" t="s">
        <v>57</v>
      </c>
      <c r="B24" t="s">
        <v>344</v>
      </c>
      <c r="C24" s="5">
        <v>1</v>
      </c>
      <c r="D24">
        <v>4</v>
      </c>
      <c r="E24">
        <v>0</v>
      </c>
      <c r="F24">
        <v>0</v>
      </c>
      <c r="G24">
        <v>0</v>
      </c>
      <c r="H24" t="s">
        <v>347</v>
      </c>
      <c r="I24" s="3" t="s">
        <v>146</v>
      </c>
    </row>
    <row r="25" spans="1:9" x14ac:dyDescent="0.35">
      <c r="A25" t="s">
        <v>47</v>
      </c>
      <c r="B25" t="s">
        <v>346</v>
      </c>
      <c r="C25" s="5">
        <v>1</v>
      </c>
      <c r="D25">
        <v>3</v>
      </c>
      <c r="E25">
        <v>3</v>
      </c>
      <c r="F25">
        <v>3</v>
      </c>
      <c r="G25">
        <v>3</v>
      </c>
      <c r="H25" t="s">
        <v>347</v>
      </c>
      <c r="I25" s="3" t="s">
        <v>136</v>
      </c>
    </row>
    <row r="26" spans="1:9" x14ac:dyDescent="0.35">
      <c r="A26" t="s">
        <v>96</v>
      </c>
      <c r="B26" t="s">
        <v>346</v>
      </c>
      <c r="C26" s="5">
        <v>2</v>
      </c>
      <c r="D26">
        <v>4</v>
      </c>
      <c r="E26">
        <v>3</v>
      </c>
      <c r="F26">
        <v>1</v>
      </c>
      <c r="G26">
        <v>1</v>
      </c>
      <c r="H26" t="s">
        <v>351</v>
      </c>
      <c r="I26" s="3" t="s">
        <v>108</v>
      </c>
    </row>
    <row r="27" spans="1:9" x14ac:dyDescent="0.35">
      <c r="A27" t="s">
        <v>40</v>
      </c>
      <c r="B27" t="s">
        <v>346</v>
      </c>
      <c r="C27" s="5">
        <v>1</v>
      </c>
      <c r="D27">
        <v>3</v>
      </c>
      <c r="E27">
        <v>3</v>
      </c>
      <c r="F27">
        <v>2</v>
      </c>
      <c r="G27">
        <v>2</v>
      </c>
      <c r="H27" t="s">
        <v>347</v>
      </c>
      <c r="I27" s="3" t="s">
        <v>129</v>
      </c>
    </row>
    <row r="28" spans="1:9" x14ac:dyDescent="0.35">
      <c r="A28" t="s">
        <v>46</v>
      </c>
      <c r="B28" t="s">
        <v>346</v>
      </c>
      <c r="C28" s="5">
        <v>1</v>
      </c>
      <c r="D28">
        <v>3</v>
      </c>
      <c r="E28">
        <v>2</v>
      </c>
      <c r="F28">
        <v>2</v>
      </c>
      <c r="G28">
        <v>2</v>
      </c>
      <c r="H28" t="s">
        <v>347</v>
      </c>
      <c r="I28" s="3" t="s">
        <v>135</v>
      </c>
    </row>
    <row r="29" spans="1:9" x14ac:dyDescent="0.35">
      <c r="A29" t="s">
        <v>73</v>
      </c>
      <c r="B29" t="s">
        <v>346</v>
      </c>
      <c r="C29" s="5">
        <v>1</v>
      </c>
      <c r="D29">
        <v>4</v>
      </c>
      <c r="E29">
        <v>4</v>
      </c>
      <c r="F29">
        <v>4</v>
      </c>
      <c r="G29">
        <v>4</v>
      </c>
      <c r="H29" t="s">
        <v>347</v>
      </c>
      <c r="I29" s="3" t="s">
        <v>162</v>
      </c>
    </row>
    <row r="30" spans="1:9" x14ac:dyDescent="0.35">
      <c r="A30" t="s">
        <v>19</v>
      </c>
      <c r="B30" t="s">
        <v>346</v>
      </c>
      <c r="C30" s="5">
        <v>1</v>
      </c>
      <c r="D30">
        <v>4</v>
      </c>
      <c r="E30">
        <v>4</v>
      </c>
      <c r="F30">
        <v>4</v>
      </c>
      <c r="G30">
        <v>4</v>
      </c>
      <c r="H30" t="s">
        <v>351</v>
      </c>
      <c r="I30" s="3" t="s">
        <v>108</v>
      </c>
    </row>
    <row r="31" spans="1:9" x14ac:dyDescent="0.35">
      <c r="A31" t="s">
        <v>41</v>
      </c>
      <c r="B31" t="s">
        <v>346</v>
      </c>
      <c r="C31" s="5">
        <v>1</v>
      </c>
      <c r="D31">
        <v>3</v>
      </c>
      <c r="E31">
        <v>3</v>
      </c>
      <c r="F31">
        <v>3</v>
      </c>
      <c r="G31">
        <v>3</v>
      </c>
      <c r="H31" t="s">
        <v>347</v>
      </c>
      <c r="I31" s="3" t="s">
        <v>130</v>
      </c>
    </row>
    <row r="32" spans="1:9" x14ac:dyDescent="0.35">
      <c r="A32" t="s">
        <v>63</v>
      </c>
      <c r="B32" t="s">
        <v>346</v>
      </c>
      <c r="C32" s="5">
        <v>1</v>
      </c>
      <c r="D32">
        <v>4</v>
      </c>
      <c r="E32">
        <v>3</v>
      </c>
      <c r="F32">
        <v>3</v>
      </c>
      <c r="G32">
        <v>3</v>
      </c>
      <c r="H32" t="s">
        <v>347</v>
      </c>
      <c r="I32" s="3" t="s">
        <v>152</v>
      </c>
    </row>
    <row r="33" spans="1:9" x14ac:dyDescent="0.35">
      <c r="A33" t="s">
        <v>37</v>
      </c>
      <c r="B33" t="s">
        <v>346</v>
      </c>
      <c r="C33" s="5">
        <v>1</v>
      </c>
      <c r="D33">
        <v>5</v>
      </c>
      <c r="E33">
        <v>4</v>
      </c>
      <c r="F33">
        <v>4</v>
      </c>
      <c r="G33">
        <v>4</v>
      </c>
      <c r="H33" t="s">
        <v>349</v>
      </c>
      <c r="I33" s="3" t="s">
        <v>126</v>
      </c>
    </row>
    <row r="34" spans="1:9" x14ac:dyDescent="0.35">
      <c r="A34" t="s">
        <v>54</v>
      </c>
      <c r="B34" t="s">
        <v>346</v>
      </c>
      <c r="C34" s="5">
        <v>1</v>
      </c>
      <c r="D34">
        <v>4</v>
      </c>
      <c r="E34">
        <v>3</v>
      </c>
      <c r="F34">
        <v>2</v>
      </c>
      <c r="G34">
        <v>2</v>
      </c>
      <c r="H34" t="s">
        <v>347</v>
      </c>
      <c r="I34" s="3" t="s">
        <v>143</v>
      </c>
    </row>
    <row r="35" spans="1:9" x14ac:dyDescent="0.35">
      <c r="A35" t="s">
        <v>29</v>
      </c>
      <c r="B35" t="s">
        <v>344</v>
      </c>
      <c r="C35" s="5">
        <v>1</v>
      </c>
      <c r="D35">
        <v>1</v>
      </c>
      <c r="E35">
        <v>0</v>
      </c>
      <c r="F35">
        <v>0</v>
      </c>
      <c r="G35">
        <v>0</v>
      </c>
      <c r="H35" t="s">
        <v>347</v>
      </c>
      <c r="I35" s="3" t="s">
        <v>118</v>
      </c>
    </row>
    <row r="36" spans="1:9" x14ac:dyDescent="0.35">
      <c r="A36" t="s">
        <v>29</v>
      </c>
      <c r="B36" t="s">
        <v>346</v>
      </c>
      <c r="C36" s="5" t="s">
        <v>252</v>
      </c>
      <c r="D36">
        <v>4</v>
      </c>
      <c r="E36">
        <v>3</v>
      </c>
      <c r="F36">
        <v>3</v>
      </c>
      <c r="G36">
        <v>3</v>
      </c>
      <c r="H36" t="s">
        <v>347</v>
      </c>
      <c r="I36" s="3" t="s">
        <v>118</v>
      </c>
    </row>
    <row r="37" spans="1:9" x14ac:dyDescent="0.35">
      <c r="A37" t="s">
        <v>28</v>
      </c>
      <c r="B37" t="s">
        <v>344</v>
      </c>
      <c r="C37" s="5">
        <v>1</v>
      </c>
      <c r="D37">
        <v>1</v>
      </c>
      <c r="E37">
        <v>0</v>
      </c>
      <c r="F37">
        <v>0</v>
      </c>
      <c r="G37">
        <v>0</v>
      </c>
      <c r="H37" t="s">
        <v>347</v>
      </c>
      <c r="I37" s="3" t="s">
        <v>117</v>
      </c>
    </row>
    <row r="38" spans="1:9" x14ac:dyDescent="0.35">
      <c r="A38" t="s">
        <v>86</v>
      </c>
      <c r="B38" t="s">
        <v>346</v>
      </c>
      <c r="C38" s="5" t="s">
        <v>252</v>
      </c>
      <c r="D38">
        <v>5</v>
      </c>
      <c r="E38">
        <v>4</v>
      </c>
      <c r="F38">
        <v>3</v>
      </c>
      <c r="G38">
        <v>3</v>
      </c>
      <c r="H38" t="s">
        <v>347</v>
      </c>
      <c r="I38" s="3" t="s">
        <v>117</v>
      </c>
    </row>
    <row r="39" spans="1:9" x14ac:dyDescent="0.35">
      <c r="A39" t="s">
        <v>66</v>
      </c>
      <c r="B39" t="s">
        <v>346</v>
      </c>
      <c r="C39" s="5">
        <v>1</v>
      </c>
      <c r="D39">
        <v>5</v>
      </c>
      <c r="E39">
        <v>5</v>
      </c>
      <c r="F39">
        <v>4</v>
      </c>
      <c r="G39">
        <v>4</v>
      </c>
      <c r="H39" t="s">
        <v>345</v>
      </c>
      <c r="I39" s="3" t="s">
        <v>155</v>
      </c>
    </row>
    <row r="40" spans="1:9" x14ac:dyDescent="0.35">
      <c r="A40" t="s">
        <v>18</v>
      </c>
      <c r="B40" t="s">
        <v>344</v>
      </c>
      <c r="C40" s="5">
        <v>1</v>
      </c>
      <c r="D40">
        <v>4</v>
      </c>
      <c r="E40">
        <v>2</v>
      </c>
      <c r="F40">
        <v>0</v>
      </c>
      <c r="G40">
        <v>0</v>
      </c>
      <c r="H40" t="s">
        <v>347</v>
      </c>
      <c r="I40" s="3" t="s">
        <v>107</v>
      </c>
    </row>
    <row r="41" spans="1:9" x14ac:dyDescent="0.35">
      <c r="A41" t="s">
        <v>77</v>
      </c>
      <c r="B41" t="s">
        <v>346</v>
      </c>
      <c r="C41" s="5" t="s">
        <v>252</v>
      </c>
      <c r="D41">
        <v>4</v>
      </c>
      <c r="E41">
        <v>2</v>
      </c>
      <c r="F41">
        <v>2</v>
      </c>
      <c r="G41">
        <v>2</v>
      </c>
      <c r="H41" t="s">
        <v>347</v>
      </c>
      <c r="I41" s="3" t="s">
        <v>107</v>
      </c>
    </row>
    <row r="42" spans="1:9" x14ac:dyDescent="0.35">
      <c r="A42" t="s">
        <v>69</v>
      </c>
      <c r="B42" t="s">
        <v>346</v>
      </c>
      <c r="C42" s="5">
        <v>1</v>
      </c>
      <c r="D42">
        <v>4</v>
      </c>
      <c r="E42">
        <v>2</v>
      </c>
      <c r="F42">
        <v>1</v>
      </c>
      <c r="G42">
        <v>1</v>
      </c>
      <c r="H42" t="s">
        <v>345</v>
      </c>
      <c r="I42" s="3" t="s">
        <v>158</v>
      </c>
    </row>
    <row r="43" spans="1:9" x14ac:dyDescent="0.35">
      <c r="A43" t="s">
        <v>35</v>
      </c>
      <c r="B43" t="s">
        <v>346</v>
      </c>
      <c r="C43" s="5">
        <v>1</v>
      </c>
      <c r="D43">
        <v>4</v>
      </c>
      <c r="E43">
        <v>3</v>
      </c>
      <c r="F43">
        <v>3</v>
      </c>
      <c r="G43">
        <v>3</v>
      </c>
      <c r="H43" t="s">
        <v>350</v>
      </c>
      <c r="I43" s="3" t="s">
        <v>124</v>
      </c>
    </row>
    <row r="44" spans="1:9" x14ac:dyDescent="0.35">
      <c r="A44" t="s">
        <v>17</v>
      </c>
      <c r="B44" t="s">
        <v>346</v>
      </c>
      <c r="C44" s="5">
        <v>1</v>
      </c>
      <c r="D44">
        <v>4</v>
      </c>
      <c r="E44">
        <v>3</v>
      </c>
      <c r="F44">
        <v>3</v>
      </c>
      <c r="G44">
        <v>3</v>
      </c>
      <c r="H44" t="s">
        <v>350</v>
      </c>
      <c r="I44" s="3" t="s">
        <v>106</v>
      </c>
    </row>
    <row r="45" spans="1:9" x14ac:dyDescent="0.35">
      <c r="A45" t="s">
        <v>95</v>
      </c>
      <c r="B45" t="s">
        <v>346</v>
      </c>
      <c r="C45" s="5">
        <v>2</v>
      </c>
      <c r="D45">
        <v>3</v>
      </c>
      <c r="E45">
        <v>2</v>
      </c>
      <c r="F45">
        <v>1</v>
      </c>
      <c r="G45">
        <v>1</v>
      </c>
      <c r="H45" t="s">
        <v>350</v>
      </c>
      <c r="I45" s="3" t="s">
        <v>106</v>
      </c>
    </row>
    <row r="46" spans="1:9" x14ac:dyDescent="0.35">
      <c r="A46" t="s">
        <v>45</v>
      </c>
      <c r="B46" t="s">
        <v>346</v>
      </c>
      <c r="C46" s="5">
        <v>1</v>
      </c>
      <c r="D46">
        <v>4</v>
      </c>
      <c r="E46">
        <v>4</v>
      </c>
      <c r="F46">
        <v>2</v>
      </c>
      <c r="G46">
        <v>2</v>
      </c>
      <c r="H46" t="s">
        <v>347</v>
      </c>
      <c r="I46" s="3" t="s">
        <v>134</v>
      </c>
    </row>
    <row r="47" spans="1:9" x14ac:dyDescent="0.35">
      <c r="A47" t="s">
        <v>60</v>
      </c>
      <c r="B47" t="s">
        <v>346</v>
      </c>
      <c r="C47" s="5">
        <v>1</v>
      </c>
      <c r="D47">
        <v>4</v>
      </c>
      <c r="E47">
        <v>4</v>
      </c>
      <c r="F47">
        <v>4</v>
      </c>
      <c r="G47">
        <v>4</v>
      </c>
      <c r="H47" t="s">
        <v>347</v>
      </c>
      <c r="I47" s="3" t="s">
        <v>149</v>
      </c>
    </row>
    <row r="48" spans="1:9" x14ac:dyDescent="0.35">
      <c r="A48" t="s">
        <v>72</v>
      </c>
      <c r="B48" t="s">
        <v>346</v>
      </c>
      <c r="C48" s="5">
        <v>1</v>
      </c>
      <c r="D48">
        <v>3</v>
      </c>
      <c r="E48">
        <v>2</v>
      </c>
      <c r="F48">
        <v>2</v>
      </c>
      <c r="G48">
        <v>2</v>
      </c>
      <c r="H48" t="s">
        <v>345</v>
      </c>
      <c r="I48" s="3" t="s">
        <v>161</v>
      </c>
    </row>
    <row r="49" spans="1:9" x14ac:dyDescent="0.35">
      <c r="A49" t="s">
        <v>65</v>
      </c>
      <c r="B49" t="s">
        <v>346</v>
      </c>
      <c r="C49" s="5">
        <v>1</v>
      </c>
      <c r="D49">
        <v>4</v>
      </c>
      <c r="E49">
        <v>4</v>
      </c>
      <c r="F49">
        <v>4</v>
      </c>
      <c r="G49">
        <v>3</v>
      </c>
      <c r="H49" t="s">
        <v>350</v>
      </c>
      <c r="I49" s="3" t="s">
        <v>154</v>
      </c>
    </row>
    <row r="50" spans="1:9" x14ac:dyDescent="0.35">
      <c r="A50" t="s">
        <v>22</v>
      </c>
      <c r="B50" t="s">
        <v>346</v>
      </c>
      <c r="C50" s="5">
        <v>1</v>
      </c>
      <c r="D50">
        <v>4</v>
      </c>
      <c r="E50">
        <v>3</v>
      </c>
      <c r="F50">
        <v>2</v>
      </c>
      <c r="G50">
        <v>2</v>
      </c>
      <c r="H50" t="s">
        <v>348</v>
      </c>
      <c r="I50" s="3" t="s">
        <v>111</v>
      </c>
    </row>
    <row r="51" spans="1:9" x14ac:dyDescent="0.35">
      <c r="A51" t="s">
        <v>22</v>
      </c>
      <c r="B51" t="s">
        <v>346</v>
      </c>
      <c r="C51" s="5">
        <v>2</v>
      </c>
      <c r="D51">
        <v>3</v>
      </c>
      <c r="E51">
        <v>2</v>
      </c>
      <c r="F51">
        <v>2</v>
      </c>
      <c r="G51">
        <v>2</v>
      </c>
      <c r="H51" t="s">
        <v>348</v>
      </c>
      <c r="I51" s="3" t="s">
        <v>111</v>
      </c>
    </row>
    <row r="52" spans="1:9" x14ac:dyDescent="0.35">
      <c r="A52" t="s">
        <v>44</v>
      </c>
      <c r="B52" t="s">
        <v>346</v>
      </c>
      <c r="C52" s="5">
        <v>1</v>
      </c>
      <c r="D52">
        <v>4</v>
      </c>
      <c r="E52">
        <v>3</v>
      </c>
      <c r="F52">
        <v>3</v>
      </c>
      <c r="G52">
        <v>3</v>
      </c>
      <c r="H52" t="s">
        <v>345</v>
      </c>
      <c r="I52" s="3" t="s">
        <v>133</v>
      </c>
    </row>
    <row r="53" spans="1:9" x14ac:dyDescent="0.35">
      <c r="A53" t="s">
        <v>14</v>
      </c>
      <c r="B53" t="s">
        <v>346</v>
      </c>
      <c r="C53" s="5">
        <v>1</v>
      </c>
      <c r="D53">
        <v>3</v>
      </c>
      <c r="E53">
        <v>3</v>
      </c>
      <c r="F53">
        <v>3</v>
      </c>
      <c r="G53">
        <v>3</v>
      </c>
      <c r="H53" t="s">
        <v>348</v>
      </c>
      <c r="I53" s="3" t="s">
        <v>103</v>
      </c>
    </row>
    <row r="54" spans="1:9" x14ac:dyDescent="0.35">
      <c r="A54" t="s">
        <v>14</v>
      </c>
      <c r="B54" t="s">
        <v>346</v>
      </c>
      <c r="C54" s="5">
        <v>2</v>
      </c>
      <c r="D54">
        <v>3</v>
      </c>
      <c r="E54">
        <v>2</v>
      </c>
      <c r="F54">
        <v>1</v>
      </c>
      <c r="G54">
        <v>1</v>
      </c>
      <c r="H54" t="s">
        <v>348</v>
      </c>
      <c r="I54" s="3" t="s">
        <v>103</v>
      </c>
    </row>
    <row r="55" spans="1:9" x14ac:dyDescent="0.35">
      <c r="A55" t="s">
        <v>75</v>
      </c>
      <c r="B55" t="s">
        <v>346</v>
      </c>
      <c r="C55" s="5">
        <v>1</v>
      </c>
      <c r="D55">
        <v>4</v>
      </c>
      <c r="E55">
        <v>4</v>
      </c>
      <c r="F55">
        <v>3</v>
      </c>
      <c r="G55">
        <v>3</v>
      </c>
      <c r="H55" t="s">
        <v>348</v>
      </c>
      <c r="I55" s="3" t="s">
        <v>164</v>
      </c>
    </row>
    <row r="56" spans="1:9" x14ac:dyDescent="0.35">
      <c r="A56" t="s">
        <v>82</v>
      </c>
      <c r="B56" t="s">
        <v>346</v>
      </c>
      <c r="C56" s="5">
        <v>1</v>
      </c>
      <c r="D56">
        <v>4</v>
      </c>
      <c r="E56">
        <v>3</v>
      </c>
      <c r="F56">
        <v>3</v>
      </c>
      <c r="G56">
        <v>3</v>
      </c>
      <c r="H56" t="s">
        <v>347</v>
      </c>
      <c r="I56" s="3" t="s">
        <v>170</v>
      </c>
    </row>
    <row r="57" spans="1:9" x14ac:dyDescent="0.35">
      <c r="A57" t="s">
        <v>84</v>
      </c>
      <c r="B57" t="s">
        <v>346</v>
      </c>
      <c r="C57" s="5">
        <v>1</v>
      </c>
      <c r="D57">
        <v>4</v>
      </c>
      <c r="E57">
        <v>4</v>
      </c>
      <c r="F57">
        <v>3</v>
      </c>
      <c r="G57">
        <v>3</v>
      </c>
      <c r="H57" t="s">
        <v>347</v>
      </c>
      <c r="I57" s="3" t="s">
        <v>172</v>
      </c>
    </row>
    <row r="58" spans="1:9" x14ac:dyDescent="0.35">
      <c r="A58" t="s">
        <v>83</v>
      </c>
      <c r="B58" t="s">
        <v>344</v>
      </c>
      <c r="C58" s="5">
        <v>1</v>
      </c>
      <c r="D58">
        <v>3</v>
      </c>
      <c r="E58">
        <v>3</v>
      </c>
      <c r="F58">
        <v>0</v>
      </c>
      <c r="G58">
        <v>0</v>
      </c>
      <c r="H58" t="s">
        <v>347</v>
      </c>
      <c r="I58" s="3" t="s">
        <v>171</v>
      </c>
    </row>
    <row r="59" spans="1:9" x14ac:dyDescent="0.35">
      <c r="A59" t="s">
        <v>27</v>
      </c>
      <c r="B59" t="s">
        <v>346</v>
      </c>
      <c r="C59" s="5">
        <v>1</v>
      </c>
      <c r="D59">
        <v>4</v>
      </c>
      <c r="E59">
        <v>1</v>
      </c>
      <c r="F59">
        <v>1</v>
      </c>
      <c r="G59">
        <v>1</v>
      </c>
      <c r="H59" t="s">
        <v>351</v>
      </c>
      <c r="I59" s="3" t="s">
        <v>116</v>
      </c>
    </row>
    <row r="60" spans="1:9" x14ac:dyDescent="0.35">
      <c r="A60" t="s">
        <v>76</v>
      </c>
      <c r="B60" t="s">
        <v>346</v>
      </c>
      <c r="C60" s="5">
        <v>1</v>
      </c>
      <c r="D60">
        <v>4</v>
      </c>
      <c r="E60">
        <v>3</v>
      </c>
      <c r="F60">
        <v>3</v>
      </c>
      <c r="G60">
        <v>3</v>
      </c>
      <c r="H60" t="s">
        <v>345</v>
      </c>
      <c r="I60" s="3" t="s">
        <v>165</v>
      </c>
    </row>
    <row r="61" spans="1:9" x14ac:dyDescent="0.35">
      <c r="A61" t="s">
        <v>56</v>
      </c>
      <c r="B61" t="s">
        <v>346</v>
      </c>
      <c r="C61" s="5">
        <v>1</v>
      </c>
      <c r="D61">
        <v>4</v>
      </c>
      <c r="E61">
        <v>3</v>
      </c>
      <c r="F61">
        <v>3</v>
      </c>
      <c r="G61">
        <v>3</v>
      </c>
      <c r="H61" t="s">
        <v>347</v>
      </c>
      <c r="I61" s="3" t="s">
        <v>145</v>
      </c>
    </row>
    <row r="62" spans="1:9" x14ac:dyDescent="0.35">
      <c r="A62" t="s">
        <v>90</v>
      </c>
      <c r="B62" t="s">
        <v>346</v>
      </c>
      <c r="C62" s="5">
        <v>2</v>
      </c>
      <c r="D62">
        <v>4</v>
      </c>
      <c r="E62">
        <v>3</v>
      </c>
      <c r="F62">
        <v>3</v>
      </c>
      <c r="G62">
        <v>2</v>
      </c>
      <c r="H62" t="s">
        <v>351</v>
      </c>
      <c r="I62" s="3" t="s">
        <v>116</v>
      </c>
    </row>
    <row r="63" spans="1:9" x14ac:dyDescent="0.35">
      <c r="A63" t="s">
        <v>89</v>
      </c>
      <c r="B63" t="s">
        <v>346</v>
      </c>
      <c r="C63" s="5">
        <v>1</v>
      </c>
      <c r="D63">
        <v>4</v>
      </c>
      <c r="E63">
        <v>3</v>
      </c>
      <c r="F63">
        <v>3</v>
      </c>
      <c r="G63">
        <v>3</v>
      </c>
      <c r="H63" t="s">
        <v>347</v>
      </c>
      <c r="I63" s="3" t="s">
        <v>174</v>
      </c>
    </row>
    <row r="64" spans="1:9" x14ac:dyDescent="0.35">
      <c r="A64" t="s">
        <v>81</v>
      </c>
      <c r="B64" t="s">
        <v>344</v>
      </c>
      <c r="C64" s="5">
        <v>1</v>
      </c>
      <c r="D64">
        <v>4</v>
      </c>
      <c r="E64">
        <v>2</v>
      </c>
      <c r="F64">
        <v>0</v>
      </c>
      <c r="G64">
        <v>0</v>
      </c>
      <c r="H64" t="s">
        <v>345</v>
      </c>
      <c r="I64" s="3" t="s">
        <v>169</v>
      </c>
    </row>
    <row r="65" spans="1:9" x14ac:dyDescent="0.35">
      <c r="A65" t="s">
        <v>12</v>
      </c>
      <c r="B65" t="s">
        <v>346</v>
      </c>
      <c r="C65" s="5">
        <v>1</v>
      </c>
      <c r="D65">
        <v>4</v>
      </c>
      <c r="E65">
        <v>3</v>
      </c>
      <c r="F65">
        <v>3</v>
      </c>
      <c r="G65">
        <v>3</v>
      </c>
      <c r="H65" t="s">
        <v>350</v>
      </c>
      <c r="I65" s="3" t="s">
        <v>101</v>
      </c>
    </row>
    <row r="66" spans="1:9" x14ac:dyDescent="0.35">
      <c r="A66" t="s">
        <v>12</v>
      </c>
      <c r="B66" t="s">
        <v>346</v>
      </c>
      <c r="C66" s="5">
        <v>2</v>
      </c>
      <c r="D66">
        <v>4</v>
      </c>
      <c r="E66">
        <v>3</v>
      </c>
      <c r="F66">
        <v>2</v>
      </c>
      <c r="G66">
        <v>2</v>
      </c>
      <c r="H66" t="s">
        <v>350</v>
      </c>
      <c r="I66" s="3" t="s">
        <v>101</v>
      </c>
    </row>
    <row r="67" spans="1:9" x14ac:dyDescent="0.35">
      <c r="A67" t="s">
        <v>67</v>
      </c>
      <c r="B67" t="s">
        <v>346</v>
      </c>
      <c r="C67" s="5">
        <v>1</v>
      </c>
      <c r="D67">
        <v>4</v>
      </c>
      <c r="E67">
        <v>3</v>
      </c>
      <c r="F67">
        <v>3</v>
      </c>
      <c r="G67">
        <v>3</v>
      </c>
      <c r="H67" t="s">
        <v>345</v>
      </c>
      <c r="I67" s="3" t="s">
        <v>156</v>
      </c>
    </row>
    <row r="68" spans="1:9" x14ac:dyDescent="0.35">
      <c r="A68" t="s">
        <v>93</v>
      </c>
      <c r="B68" t="s">
        <v>346</v>
      </c>
      <c r="C68" s="5">
        <v>2</v>
      </c>
      <c r="D68">
        <v>4</v>
      </c>
      <c r="E68">
        <v>3</v>
      </c>
      <c r="F68">
        <v>1</v>
      </c>
      <c r="G68">
        <v>1</v>
      </c>
      <c r="H68" t="s">
        <v>350</v>
      </c>
      <c r="I68" s="3" t="s">
        <v>100</v>
      </c>
    </row>
    <row r="69" spans="1:9" x14ac:dyDescent="0.35">
      <c r="A69" t="s">
        <v>11</v>
      </c>
      <c r="B69" t="s">
        <v>346</v>
      </c>
      <c r="C69" s="5">
        <v>1</v>
      </c>
      <c r="D69">
        <v>4</v>
      </c>
      <c r="E69">
        <v>4</v>
      </c>
      <c r="F69">
        <v>3</v>
      </c>
      <c r="G69">
        <v>3</v>
      </c>
      <c r="H69" t="s">
        <v>350</v>
      </c>
      <c r="I69" s="3" t="s">
        <v>100</v>
      </c>
    </row>
    <row r="70" spans="1:9" x14ac:dyDescent="0.35">
      <c r="A70" t="s">
        <v>78</v>
      </c>
      <c r="B70" t="s">
        <v>346</v>
      </c>
      <c r="C70" s="5">
        <v>1</v>
      </c>
      <c r="D70">
        <v>4</v>
      </c>
      <c r="E70">
        <v>2</v>
      </c>
      <c r="F70">
        <v>2</v>
      </c>
      <c r="G70">
        <v>2</v>
      </c>
      <c r="H70" t="s">
        <v>347</v>
      </c>
      <c r="I70" s="3" t="s">
        <v>166</v>
      </c>
    </row>
    <row r="71" spans="1:9" x14ac:dyDescent="0.35">
      <c r="A71" t="s">
        <v>85</v>
      </c>
      <c r="B71" t="s">
        <v>344</v>
      </c>
      <c r="C71" s="5">
        <v>1</v>
      </c>
      <c r="D71">
        <v>4</v>
      </c>
      <c r="E71">
        <v>2</v>
      </c>
      <c r="F71">
        <v>0</v>
      </c>
      <c r="G71">
        <v>0</v>
      </c>
      <c r="H71" t="s">
        <v>347</v>
      </c>
      <c r="I71" s="3" t="s">
        <v>173</v>
      </c>
    </row>
    <row r="72" spans="1:9" x14ac:dyDescent="0.35">
      <c r="A72" t="s">
        <v>64</v>
      </c>
      <c r="B72" t="s">
        <v>344</v>
      </c>
      <c r="C72" s="5">
        <v>1</v>
      </c>
      <c r="D72">
        <v>5</v>
      </c>
      <c r="E72">
        <v>3</v>
      </c>
      <c r="F72">
        <v>0</v>
      </c>
      <c r="G72">
        <v>0</v>
      </c>
      <c r="H72" t="s">
        <v>348</v>
      </c>
      <c r="I72" s="3" t="s">
        <v>153</v>
      </c>
    </row>
    <row r="73" spans="1:9" x14ac:dyDescent="0.35">
      <c r="A73" t="s">
        <v>39</v>
      </c>
      <c r="B73" t="s">
        <v>346</v>
      </c>
      <c r="C73" s="5">
        <v>1</v>
      </c>
      <c r="D73">
        <v>4</v>
      </c>
      <c r="E73">
        <v>3</v>
      </c>
      <c r="F73">
        <v>3</v>
      </c>
      <c r="G73">
        <v>3</v>
      </c>
      <c r="H73" t="s">
        <v>350</v>
      </c>
      <c r="I73" s="3" t="s">
        <v>128</v>
      </c>
    </row>
    <row r="74" spans="1:9" x14ac:dyDescent="0.35">
      <c r="A74" t="s">
        <v>34</v>
      </c>
      <c r="B74" t="s">
        <v>344</v>
      </c>
      <c r="C74" s="5">
        <v>1</v>
      </c>
      <c r="D74">
        <v>4</v>
      </c>
      <c r="E74">
        <v>2</v>
      </c>
      <c r="F74">
        <v>0</v>
      </c>
      <c r="G74">
        <v>0</v>
      </c>
      <c r="H74" t="s">
        <v>347</v>
      </c>
      <c r="I74" s="3" t="s">
        <v>123</v>
      </c>
    </row>
    <row r="75" spans="1:9" x14ac:dyDescent="0.35">
      <c r="A75" t="s">
        <v>51</v>
      </c>
      <c r="B75" t="s">
        <v>346</v>
      </c>
      <c r="C75" s="5">
        <v>1</v>
      </c>
      <c r="D75">
        <v>4</v>
      </c>
      <c r="E75">
        <v>4</v>
      </c>
      <c r="F75">
        <v>3</v>
      </c>
      <c r="G75">
        <v>3</v>
      </c>
      <c r="H75" t="s">
        <v>351</v>
      </c>
      <c r="I75" s="3" t="s">
        <v>140</v>
      </c>
    </row>
    <row r="76" spans="1:9" x14ac:dyDescent="0.35">
      <c r="A76" t="s">
        <v>49</v>
      </c>
      <c r="B76" t="s">
        <v>346</v>
      </c>
      <c r="C76" s="5">
        <v>1</v>
      </c>
      <c r="D76">
        <v>5</v>
      </c>
      <c r="E76">
        <v>4</v>
      </c>
      <c r="F76">
        <v>4</v>
      </c>
      <c r="G76">
        <v>4</v>
      </c>
      <c r="H76" t="s">
        <v>349</v>
      </c>
      <c r="I76" s="3" t="s">
        <v>138</v>
      </c>
    </row>
    <row r="77" spans="1:9" x14ac:dyDescent="0.35">
      <c r="A77" t="s">
        <v>59</v>
      </c>
      <c r="B77" t="s">
        <v>346</v>
      </c>
      <c r="C77" s="5">
        <v>1</v>
      </c>
      <c r="D77">
        <v>5</v>
      </c>
      <c r="E77">
        <v>2</v>
      </c>
      <c r="F77">
        <v>2</v>
      </c>
      <c r="G77">
        <v>2</v>
      </c>
      <c r="H77" t="s">
        <v>349</v>
      </c>
      <c r="I77" s="3" t="s">
        <v>148</v>
      </c>
    </row>
    <row r="78" spans="1:9" x14ac:dyDescent="0.35">
      <c r="A78" t="s">
        <v>70</v>
      </c>
      <c r="B78" t="s">
        <v>346</v>
      </c>
      <c r="C78" s="5">
        <v>1</v>
      </c>
      <c r="D78">
        <v>4</v>
      </c>
      <c r="E78">
        <v>3</v>
      </c>
      <c r="F78">
        <v>3</v>
      </c>
      <c r="G78">
        <v>3</v>
      </c>
      <c r="H78" t="s">
        <v>345</v>
      </c>
      <c r="I78" s="3" t="s">
        <v>159</v>
      </c>
    </row>
    <row r="79" spans="1:9" x14ac:dyDescent="0.35">
      <c r="A79" t="s">
        <v>48</v>
      </c>
      <c r="B79" t="s">
        <v>346</v>
      </c>
      <c r="C79" s="5">
        <v>1</v>
      </c>
      <c r="D79">
        <v>4</v>
      </c>
      <c r="E79">
        <v>4</v>
      </c>
      <c r="F79">
        <v>2</v>
      </c>
      <c r="G79">
        <v>2</v>
      </c>
      <c r="H79" t="s">
        <v>347</v>
      </c>
      <c r="I79" s="3" t="s">
        <v>137</v>
      </c>
    </row>
    <row r="80" spans="1:9" x14ac:dyDescent="0.35">
      <c r="A80" t="s">
        <v>80</v>
      </c>
      <c r="B80" t="s">
        <v>346</v>
      </c>
      <c r="C80" s="5">
        <v>1</v>
      </c>
      <c r="D80">
        <v>4</v>
      </c>
      <c r="E80">
        <v>4</v>
      </c>
      <c r="F80">
        <v>2</v>
      </c>
      <c r="G80">
        <v>2</v>
      </c>
      <c r="H80" t="s">
        <v>347</v>
      </c>
      <c r="I80" s="3" t="s">
        <v>168</v>
      </c>
    </row>
    <row r="81" spans="1:9" x14ac:dyDescent="0.35">
      <c r="A81" t="s">
        <v>61</v>
      </c>
      <c r="B81" t="s">
        <v>346</v>
      </c>
      <c r="C81" s="5">
        <v>1</v>
      </c>
      <c r="D81">
        <v>4</v>
      </c>
      <c r="E81">
        <v>3</v>
      </c>
      <c r="F81">
        <v>2</v>
      </c>
      <c r="G81">
        <v>2</v>
      </c>
      <c r="H81" t="s">
        <v>347</v>
      </c>
      <c r="I81" s="3" t="s">
        <v>150</v>
      </c>
    </row>
    <row r="82" spans="1:9" x14ac:dyDescent="0.35">
      <c r="A82" t="s">
        <v>79</v>
      </c>
      <c r="B82" t="s">
        <v>344</v>
      </c>
      <c r="C82" s="5">
        <v>1</v>
      </c>
      <c r="D82">
        <v>4</v>
      </c>
      <c r="E82">
        <v>4</v>
      </c>
      <c r="F82">
        <v>0</v>
      </c>
      <c r="G82">
        <v>0</v>
      </c>
      <c r="H82" t="s">
        <v>350</v>
      </c>
      <c r="I82" s="3" t="s">
        <v>167</v>
      </c>
    </row>
    <row r="83" spans="1:9" x14ac:dyDescent="0.35">
      <c r="A83" t="s">
        <v>52</v>
      </c>
      <c r="B83" t="s">
        <v>346</v>
      </c>
      <c r="C83" s="5">
        <v>1</v>
      </c>
      <c r="D83">
        <v>4</v>
      </c>
      <c r="E83">
        <v>3</v>
      </c>
      <c r="F83">
        <v>3</v>
      </c>
      <c r="G83">
        <v>3</v>
      </c>
      <c r="H83" t="s">
        <v>347</v>
      </c>
      <c r="I83" s="3" t="s">
        <v>141</v>
      </c>
    </row>
    <row r="84" spans="1:9" x14ac:dyDescent="0.35">
      <c r="A84" t="s">
        <v>98</v>
      </c>
      <c r="B84" t="s">
        <v>344</v>
      </c>
      <c r="C84" s="5">
        <v>2</v>
      </c>
      <c r="D84">
        <v>4</v>
      </c>
      <c r="E84">
        <v>3</v>
      </c>
      <c r="F84">
        <v>0</v>
      </c>
      <c r="G84">
        <v>0</v>
      </c>
      <c r="H84" t="s">
        <v>350</v>
      </c>
      <c r="I84" s="3" t="s">
        <v>125</v>
      </c>
    </row>
    <row r="85" spans="1:9" x14ac:dyDescent="0.35">
      <c r="A85" t="s">
        <v>36</v>
      </c>
      <c r="B85" t="s">
        <v>346</v>
      </c>
      <c r="C85" s="5">
        <v>1</v>
      </c>
      <c r="D85">
        <v>5</v>
      </c>
      <c r="E85">
        <v>4</v>
      </c>
      <c r="F85">
        <v>3</v>
      </c>
      <c r="G85">
        <v>3</v>
      </c>
      <c r="H85" t="s">
        <v>350</v>
      </c>
      <c r="I85" s="3" t="s">
        <v>125</v>
      </c>
    </row>
    <row r="86" spans="1:9" x14ac:dyDescent="0.35">
      <c r="A86" t="s">
        <v>88</v>
      </c>
      <c r="B86" t="s">
        <v>346</v>
      </c>
      <c r="C86" s="5">
        <v>2</v>
      </c>
      <c r="D86">
        <v>4</v>
      </c>
      <c r="E86">
        <v>3</v>
      </c>
      <c r="F86">
        <v>3</v>
      </c>
      <c r="G86">
        <v>3</v>
      </c>
      <c r="H86" t="s">
        <v>348</v>
      </c>
      <c r="I86" s="3" t="s">
        <v>102</v>
      </c>
    </row>
    <row r="87" spans="1:9" x14ac:dyDescent="0.35">
      <c r="A87" t="s">
        <v>13</v>
      </c>
      <c r="B87" t="s">
        <v>346</v>
      </c>
      <c r="C87" s="5">
        <v>1</v>
      </c>
      <c r="D87">
        <v>4</v>
      </c>
      <c r="E87">
        <v>3</v>
      </c>
      <c r="F87">
        <v>2</v>
      </c>
      <c r="G87">
        <v>2</v>
      </c>
      <c r="H87" t="s">
        <v>348</v>
      </c>
      <c r="I87" s="3" t="s">
        <v>102</v>
      </c>
    </row>
    <row r="88" spans="1:9" x14ac:dyDescent="0.35">
      <c r="A88" t="s">
        <v>94</v>
      </c>
      <c r="B88" t="s">
        <v>346</v>
      </c>
      <c r="C88" s="5" t="s">
        <v>252</v>
      </c>
      <c r="D88">
        <v>4</v>
      </c>
      <c r="E88">
        <v>3</v>
      </c>
      <c r="F88">
        <v>3</v>
      </c>
      <c r="G88">
        <v>3</v>
      </c>
      <c r="H88" t="s">
        <v>345</v>
      </c>
      <c r="I88" s="3" t="s">
        <v>142</v>
      </c>
    </row>
    <row r="89" spans="1:9" x14ac:dyDescent="0.35">
      <c r="A89" t="s">
        <v>21</v>
      </c>
      <c r="B89" t="s">
        <v>346</v>
      </c>
      <c r="C89" s="5">
        <v>1</v>
      </c>
      <c r="D89">
        <v>4</v>
      </c>
      <c r="E89">
        <v>4</v>
      </c>
      <c r="F89">
        <v>4</v>
      </c>
      <c r="G89">
        <v>4</v>
      </c>
      <c r="H89" t="s">
        <v>345</v>
      </c>
      <c r="I89" s="3" t="s">
        <v>110</v>
      </c>
    </row>
    <row r="90" spans="1:9" x14ac:dyDescent="0.35">
      <c r="A90" t="s">
        <v>74</v>
      </c>
      <c r="B90" t="s">
        <v>346</v>
      </c>
      <c r="C90" s="5">
        <v>1</v>
      </c>
      <c r="D90">
        <v>4</v>
      </c>
      <c r="E90">
        <v>3</v>
      </c>
      <c r="F90">
        <v>3</v>
      </c>
      <c r="G90">
        <v>3</v>
      </c>
      <c r="H90" t="s">
        <v>347</v>
      </c>
      <c r="I90" s="3" t="s">
        <v>163</v>
      </c>
    </row>
    <row r="91" spans="1:9" x14ac:dyDescent="0.35">
      <c r="A91" t="s">
        <v>62</v>
      </c>
      <c r="B91" t="s">
        <v>346</v>
      </c>
      <c r="C91" s="5">
        <v>1</v>
      </c>
      <c r="D91">
        <v>3</v>
      </c>
      <c r="E91">
        <v>2</v>
      </c>
      <c r="F91">
        <v>2</v>
      </c>
      <c r="G91">
        <v>2</v>
      </c>
      <c r="H91" t="s">
        <v>345</v>
      </c>
      <c r="I91" s="3" t="s">
        <v>151</v>
      </c>
    </row>
    <row r="92" spans="1:9" x14ac:dyDescent="0.35">
      <c r="A92" t="s">
        <v>24</v>
      </c>
      <c r="B92" t="s">
        <v>346</v>
      </c>
      <c r="C92" s="5">
        <v>1</v>
      </c>
      <c r="D92">
        <v>5</v>
      </c>
      <c r="E92">
        <v>5</v>
      </c>
      <c r="F92">
        <v>5</v>
      </c>
      <c r="G92">
        <v>5</v>
      </c>
      <c r="H92" t="s">
        <v>350</v>
      </c>
      <c r="I92" s="3" t="s">
        <v>113</v>
      </c>
    </row>
    <row r="93" spans="1:9" x14ac:dyDescent="0.35">
      <c r="A93" t="s">
        <v>97</v>
      </c>
      <c r="B93" t="s">
        <v>346</v>
      </c>
      <c r="C93" s="5">
        <v>2</v>
      </c>
      <c r="D93">
        <v>4</v>
      </c>
      <c r="E93">
        <v>3</v>
      </c>
      <c r="F93">
        <v>2</v>
      </c>
      <c r="G93">
        <v>2</v>
      </c>
      <c r="H93" t="s">
        <v>350</v>
      </c>
      <c r="I93" s="3" t="s">
        <v>113</v>
      </c>
    </row>
    <row r="94" spans="1:9" x14ac:dyDescent="0.35">
      <c r="A94" t="s">
        <v>91</v>
      </c>
      <c r="B94" t="s">
        <v>346</v>
      </c>
      <c r="C94" s="5">
        <v>1</v>
      </c>
      <c r="D94">
        <v>3</v>
      </c>
      <c r="E94">
        <v>3</v>
      </c>
      <c r="F94">
        <v>3</v>
      </c>
      <c r="G94">
        <v>3</v>
      </c>
      <c r="H94" t="s">
        <v>347</v>
      </c>
      <c r="I94" s="3" t="s">
        <v>175</v>
      </c>
    </row>
    <row r="95" spans="1:9" x14ac:dyDescent="0.35">
      <c r="A95" t="s">
        <v>50</v>
      </c>
      <c r="B95" t="s">
        <v>344</v>
      </c>
      <c r="C95" s="5">
        <v>1</v>
      </c>
      <c r="D95">
        <v>4</v>
      </c>
      <c r="E95">
        <v>0</v>
      </c>
      <c r="F95">
        <v>0</v>
      </c>
      <c r="G95">
        <v>0</v>
      </c>
      <c r="H95" t="s">
        <v>349</v>
      </c>
      <c r="I95" s="3" t="s">
        <v>139</v>
      </c>
    </row>
    <row r="96" spans="1:9" x14ac:dyDescent="0.35">
      <c r="A96" t="s">
        <v>23</v>
      </c>
      <c r="B96" t="s">
        <v>344</v>
      </c>
      <c r="C96" s="5">
        <v>1</v>
      </c>
      <c r="D96">
        <v>4</v>
      </c>
      <c r="E96">
        <v>0</v>
      </c>
      <c r="F96">
        <v>0</v>
      </c>
      <c r="G96">
        <v>0</v>
      </c>
      <c r="H96" t="s">
        <v>350</v>
      </c>
      <c r="I96" s="3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5ECB-040B-42EC-81A6-7B60814A3E01}">
  <dimension ref="A1:H101"/>
  <sheetViews>
    <sheetView workbookViewId="0">
      <selection activeCell="J6" sqref="J6"/>
    </sheetView>
  </sheetViews>
  <sheetFormatPr defaultRowHeight="14.5" x14ac:dyDescent="0.35"/>
  <cols>
    <col min="1" max="1" width="15" bestFit="1" customWidth="1"/>
    <col min="5" max="5" width="10.08984375" bestFit="1" customWidth="1"/>
  </cols>
  <sheetData>
    <row r="1" spans="1:8" x14ac:dyDescent="0.35">
      <c r="A1" s="24" t="s">
        <v>5</v>
      </c>
      <c r="B1" s="25" t="s">
        <v>370</v>
      </c>
      <c r="C1" s="25" t="s">
        <v>371</v>
      </c>
      <c r="D1" s="25" t="s">
        <v>275</v>
      </c>
      <c r="E1" s="25" t="s">
        <v>276</v>
      </c>
      <c r="F1" s="25" t="s">
        <v>372</v>
      </c>
      <c r="G1" s="25" t="s">
        <v>373</v>
      </c>
      <c r="H1" s="26" t="s">
        <v>355</v>
      </c>
    </row>
    <row r="2" spans="1:8" x14ac:dyDescent="0.35">
      <c r="A2" s="27" t="s">
        <v>9</v>
      </c>
      <c r="B2" s="28" t="s">
        <v>38</v>
      </c>
      <c r="C2" s="28" t="s">
        <v>374</v>
      </c>
      <c r="D2" s="29">
        <v>7</v>
      </c>
      <c r="E2" s="30">
        <v>43789</v>
      </c>
      <c r="F2" s="31">
        <v>0.43384259259259261</v>
      </c>
      <c r="G2" s="29"/>
      <c r="H2" s="32">
        <v>63</v>
      </c>
    </row>
    <row r="3" spans="1:8" x14ac:dyDescent="0.35">
      <c r="A3" s="33" t="s">
        <v>9</v>
      </c>
      <c r="B3" s="34" t="s">
        <v>38</v>
      </c>
      <c r="C3" s="34" t="s">
        <v>375</v>
      </c>
      <c r="D3" s="35">
        <v>14</v>
      </c>
      <c r="E3" s="36">
        <v>43796</v>
      </c>
      <c r="F3" s="37">
        <v>0.33587962962962964</v>
      </c>
      <c r="G3" s="35"/>
      <c r="H3" s="38">
        <v>81.016666670000006</v>
      </c>
    </row>
    <row r="4" spans="1:8" x14ac:dyDescent="0.35">
      <c r="A4" s="27" t="s">
        <v>9</v>
      </c>
      <c r="B4" s="28" t="s">
        <v>25</v>
      </c>
      <c r="C4" s="28" t="s">
        <v>376</v>
      </c>
      <c r="D4" s="29">
        <v>1</v>
      </c>
      <c r="E4" s="39">
        <v>43779</v>
      </c>
      <c r="F4" s="40">
        <v>0.62599537037037034</v>
      </c>
      <c r="G4" s="29"/>
      <c r="H4" s="32">
        <v>69</v>
      </c>
    </row>
    <row r="5" spans="1:8" x14ac:dyDescent="0.35">
      <c r="A5" s="41" t="s">
        <v>9</v>
      </c>
      <c r="B5" s="42" t="s">
        <v>25</v>
      </c>
      <c r="C5" s="42" t="s">
        <v>374</v>
      </c>
      <c r="D5" s="43">
        <v>7</v>
      </c>
      <c r="E5" s="36">
        <v>43787</v>
      </c>
      <c r="F5" s="37">
        <v>0.51634259259259263</v>
      </c>
      <c r="G5" s="43"/>
      <c r="H5" s="44">
        <v>60</v>
      </c>
    </row>
    <row r="6" spans="1:8" x14ac:dyDescent="0.35">
      <c r="A6" s="45" t="s">
        <v>9</v>
      </c>
      <c r="B6" s="46" t="s">
        <v>25</v>
      </c>
      <c r="C6" s="46" t="s">
        <v>375</v>
      </c>
      <c r="D6" s="47">
        <v>13</v>
      </c>
      <c r="E6" s="30">
        <v>43791</v>
      </c>
      <c r="F6" s="31">
        <v>0.47298611111111111</v>
      </c>
      <c r="G6" s="47"/>
      <c r="H6" s="48">
        <v>65</v>
      </c>
    </row>
    <row r="7" spans="1:8" x14ac:dyDescent="0.35">
      <c r="A7" s="41" t="s">
        <v>9</v>
      </c>
      <c r="B7" s="42" t="s">
        <v>16</v>
      </c>
      <c r="C7" s="42" t="s">
        <v>376</v>
      </c>
      <c r="D7" s="49">
        <v>2</v>
      </c>
      <c r="E7" s="50">
        <v>43773</v>
      </c>
      <c r="F7" s="51">
        <v>0.57986111111111116</v>
      </c>
      <c r="G7" s="43"/>
      <c r="H7" s="52">
        <v>24.466666669999999</v>
      </c>
    </row>
    <row r="8" spans="1:8" x14ac:dyDescent="0.35">
      <c r="A8" s="27" t="s">
        <v>9</v>
      </c>
      <c r="B8" s="28" t="s">
        <v>16</v>
      </c>
      <c r="C8" s="28" t="s">
        <v>376</v>
      </c>
      <c r="D8" s="49">
        <v>3</v>
      </c>
      <c r="E8" s="39">
        <v>43774</v>
      </c>
      <c r="F8" s="40">
        <v>0.58078703703703705</v>
      </c>
      <c r="G8" s="29"/>
      <c r="H8" s="53">
        <v>113.83333330000001</v>
      </c>
    </row>
    <row r="9" spans="1:8" x14ac:dyDescent="0.35">
      <c r="A9" s="33" t="s">
        <v>9</v>
      </c>
      <c r="B9" s="34" t="s">
        <v>16</v>
      </c>
      <c r="C9" s="34" t="s">
        <v>375</v>
      </c>
      <c r="D9" s="35">
        <v>13</v>
      </c>
      <c r="E9" s="36">
        <v>43786</v>
      </c>
      <c r="F9" s="37">
        <v>0.56180555555555556</v>
      </c>
      <c r="G9" s="35"/>
      <c r="H9" s="38">
        <v>160.41666670000001</v>
      </c>
    </row>
    <row r="10" spans="1:8" x14ac:dyDescent="0.35">
      <c r="A10" s="45" t="s">
        <v>9</v>
      </c>
      <c r="B10" s="46" t="s">
        <v>33</v>
      </c>
      <c r="C10" s="46" t="s">
        <v>375</v>
      </c>
      <c r="D10" s="47">
        <v>13</v>
      </c>
      <c r="E10" s="30">
        <v>43795</v>
      </c>
      <c r="F10" s="31">
        <v>0.48002314814814817</v>
      </c>
      <c r="G10" s="47"/>
      <c r="H10" s="48">
        <v>65</v>
      </c>
    </row>
    <row r="11" spans="1:8" x14ac:dyDescent="0.35">
      <c r="A11" s="41" t="s">
        <v>9</v>
      </c>
      <c r="B11" s="42" t="s">
        <v>55</v>
      </c>
      <c r="C11" s="42" t="s">
        <v>376</v>
      </c>
      <c r="D11" s="43">
        <v>1</v>
      </c>
      <c r="E11" s="50">
        <v>43794</v>
      </c>
      <c r="F11" s="51">
        <v>0.54236111111111107</v>
      </c>
      <c r="G11" s="43"/>
      <c r="H11" s="52">
        <v>67.283333330000005</v>
      </c>
    </row>
    <row r="12" spans="1:8" x14ac:dyDescent="0.35">
      <c r="A12" s="45" t="s">
        <v>9</v>
      </c>
      <c r="B12" s="46" t="s">
        <v>55</v>
      </c>
      <c r="C12" s="46" t="s">
        <v>375</v>
      </c>
      <c r="D12" s="47">
        <v>13</v>
      </c>
      <c r="E12" s="30">
        <v>43805</v>
      </c>
      <c r="F12" s="31">
        <v>0.59097222222222223</v>
      </c>
      <c r="G12" s="47"/>
      <c r="H12" s="48">
        <v>60</v>
      </c>
    </row>
    <row r="13" spans="1:8" x14ac:dyDescent="0.35">
      <c r="A13" s="41" t="s">
        <v>9</v>
      </c>
      <c r="B13" s="42" t="s">
        <v>68</v>
      </c>
      <c r="C13" s="42" t="s">
        <v>376</v>
      </c>
      <c r="D13" s="43">
        <v>1</v>
      </c>
      <c r="E13" s="50">
        <v>43805</v>
      </c>
      <c r="F13" s="51">
        <v>0.65504629629629629</v>
      </c>
      <c r="G13" s="43"/>
      <c r="H13" s="52">
        <v>77</v>
      </c>
    </row>
    <row r="14" spans="1:8" x14ac:dyDescent="0.35">
      <c r="A14" s="27" t="s">
        <v>9</v>
      </c>
      <c r="B14" s="28" t="s">
        <v>10</v>
      </c>
      <c r="C14" s="28" t="s">
        <v>376</v>
      </c>
      <c r="D14" s="29">
        <v>3</v>
      </c>
      <c r="E14" s="39">
        <v>43771</v>
      </c>
      <c r="F14" s="40">
        <v>0.55138888888888893</v>
      </c>
      <c r="G14" s="29"/>
      <c r="H14" s="32">
        <v>99</v>
      </c>
    </row>
    <row r="15" spans="1:8" x14ac:dyDescent="0.35">
      <c r="A15" s="41" t="s">
        <v>9</v>
      </c>
      <c r="B15" s="42" t="s">
        <v>20</v>
      </c>
      <c r="C15" s="42" t="s">
        <v>376</v>
      </c>
      <c r="D15" s="49">
        <v>1</v>
      </c>
      <c r="E15" s="50">
        <v>43776</v>
      </c>
      <c r="F15" s="51">
        <v>0.70763888888888893</v>
      </c>
      <c r="G15" s="43"/>
      <c r="H15" s="52">
        <v>47.85</v>
      </c>
    </row>
    <row r="16" spans="1:8" x14ac:dyDescent="0.35">
      <c r="A16" s="27" t="s">
        <v>9</v>
      </c>
      <c r="B16" s="28" t="s">
        <v>20</v>
      </c>
      <c r="C16" s="28" t="s">
        <v>376</v>
      </c>
      <c r="D16" s="49">
        <v>2</v>
      </c>
      <c r="E16" s="39">
        <v>43777</v>
      </c>
      <c r="F16" s="40">
        <v>0.68788194444444439</v>
      </c>
      <c r="G16" s="29"/>
      <c r="H16" s="53">
        <v>47.85</v>
      </c>
    </row>
    <row r="17" spans="1:8" x14ac:dyDescent="0.35">
      <c r="A17" s="41" t="s">
        <v>9</v>
      </c>
      <c r="B17" s="42" t="s">
        <v>20</v>
      </c>
      <c r="C17" s="42" t="s">
        <v>374</v>
      </c>
      <c r="D17" s="43">
        <v>7</v>
      </c>
      <c r="E17" s="36">
        <v>43782</v>
      </c>
      <c r="F17" s="37">
        <v>0.72629629629629633</v>
      </c>
      <c r="G17" s="43"/>
      <c r="H17" s="44">
        <v>65</v>
      </c>
    </row>
    <row r="18" spans="1:8" x14ac:dyDescent="0.35">
      <c r="A18" s="45" t="s">
        <v>9</v>
      </c>
      <c r="B18" s="46" t="s">
        <v>20</v>
      </c>
      <c r="C18" s="46" t="s">
        <v>375</v>
      </c>
      <c r="D18" s="47">
        <v>13</v>
      </c>
      <c r="E18" s="30">
        <v>43788</v>
      </c>
      <c r="F18" s="31">
        <v>0.48716435185185186</v>
      </c>
      <c r="G18" s="47"/>
      <c r="H18" s="48">
        <v>60</v>
      </c>
    </row>
    <row r="19" spans="1:8" x14ac:dyDescent="0.35">
      <c r="A19" s="41" t="s">
        <v>9</v>
      </c>
      <c r="B19" s="42" t="s">
        <v>58</v>
      </c>
      <c r="C19" s="42" t="s">
        <v>376</v>
      </c>
      <c r="D19" s="43">
        <v>1</v>
      </c>
      <c r="E19" s="50">
        <v>43796</v>
      </c>
      <c r="F19" s="51">
        <v>0.64976851851851847</v>
      </c>
      <c r="G19" s="43"/>
      <c r="H19" s="44">
        <v>62</v>
      </c>
    </row>
    <row r="20" spans="1:8" x14ac:dyDescent="0.35">
      <c r="A20" s="27" t="s">
        <v>9</v>
      </c>
      <c r="B20" s="28" t="s">
        <v>58</v>
      </c>
      <c r="C20" s="28" t="s">
        <v>374</v>
      </c>
      <c r="D20" s="29">
        <v>7</v>
      </c>
      <c r="E20" s="30">
        <v>43800</v>
      </c>
      <c r="F20" s="31">
        <v>0.6177893518518518</v>
      </c>
      <c r="G20" s="29"/>
      <c r="H20" s="32">
        <v>65</v>
      </c>
    </row>
    <row r="21" spans="1:8" x14ac:dyDescent="0.35">
      <c r="A21" s="33" t="s">
        <v>9</v>
      </c>
      <c r="B21" s="34" t="s">
        <v>58</v>
      </c>
      <c r="C21" s="34" t="s">
        <v>375</v>
      </c>
      <c r="D21" s="35">
        <v>13</v>
      </c>
      <c r="E21" s="36">
        <v>43806</v>
      </c>
      <c r="F21" s="37">
        <v>0.47092592592592591</v>
      </c>
      <c r="G21" s="35"/>
      <c r="H21" s="54">
        <v>60</v>
      </c>
    </row>
    <row r="22" spans="1:8" x14ac:dyDescent="0.35">
      <c r="A22" s="27" t="s">
        <v>9</v>
      </c>
      <c r="B22" s="28" t="s">
        <v>15</v>
      </c>
      <c r="C22" s="28" t="s">
        <v>376</v>
      </c>
      <c r="D22" s="29">
        <v>2</v>
      </c>
      <c r="E22" s="39">
        <v>43774</v>
      </c>
      <c r="F22" s="40">
        <v>0.60763888888888884</v>
      </c>
      <c r="G22" s="29"/>
      <c r="H22" s="32">
        <v>66</v>
      </c>
    </row>
    <row r="23" spans="1:8" x14ac:dyDescent="0.35">
      <c r="A23" s="33" t="s">
        <v>9</v>
      </c>
      <c r="B23" s="34" t="s">
        <v>15</v>
      </c>
      <c r="C23" s="34" t="s">
        <v>375</v>
      </c>
      <c r="D23" s="35">
        <v>13</v>
      </c>
      <c r="E23" s="36">
        <v>43786</v>
      </c>
      <c r="F23" s="37">
        <v>0.6962962962962963</v>
      </c>
      <c r="G23" s="35"/>
      <c r="H23" s="54">
        <v>58</v>
      </c>
    </row>
    <row r="24" spans="1:8" x14ac:dyDescent="0.35">
      <c r="A24" s="27" t="s">
        <v>9</v>
      </c>
      <c r="B24" s="28" t="s">
        <v>32</v>
      </c>
      <c r="C24" s="28" t="s">
        <v>376</v>
      </c>
      <c r="D24" s="29">
        <v>1</v>
      </c>
      <c r="E24" s="39">
        <v>43781</v>
      </c>
      <c r="F24" s="40">
        <v>0.54653935185185187</v>
      </c>
      <c r="G24" s="29"/>
      <c r="H24" s="32">
        <v>64</v>
      </c>
    </row>
    <row r="25" spans="1:8" x14ac:dyDescent="0.35">
      <c r="A25" s="41" t="s">
        <v>9</v>
      </c>
      <c r="B25" s="42" t="s">
        <v>32</v>
      </c>
      <c r="C25" s="42" t="s">
        <v>374</v>
      </c>
      <c r="D25" s="43">
        <v>7</v>
      </c>
      <c r="E25" s="36">
        <v>43787</v>
      </c>
      <c r="F25" s="37">
        <v>0.55503472222222228</v>
      </c>
      <c r="G25" s="43"/>
      <c r="H25" s="44">
        <v>55</v>
      </c>
    </row>
    <row r="26" spans="1:8" x14ac:dyDescent="0.35">
      <c r="A26" s="45" t="s">
        <v>9</v>
      </c>
      <c r="B26" s="46" t="s">
        <v>32</v>
      </c>
      <c r="C26" s="46" t="s">
        <v>375</v>
      </c>
      <c r="D26" s="47">
        <v>13</v>
      </c>
      <c r="E26" s="30">
        <v>43793</v>
      </c>
      <c r="F26" s="31">
        <v>0.43171296296296297</v>
      </c>
      <c r="G26" s="47"/>
      <c r="H26" s="48">
        <v>59</v>
      </c>
    </row>
    <row r="27" spans="1:8" x14ac:dyDescent="0.35">
      <c r="A27" s="41" t="s">
        <v>9</v>
      </c>
      <c r="B27" s="42" t="s">
        <v>31</v>
      </c>
      <c r="C27" s="42" t="s">
        <v>376</v>
      </c>
      <c r="D27" s="43">
        <v>2</v>
      </c>
      <c r="E27" s="50">
        <v>43781</v>
      </c>
      <c r="F27" s="51">
        <v>0.49694444444444447</v>
      </c>
      <c r="G27" s="43"/>
      <c r="H27" s="52">
        <v>45.383333329999999</v>
      </c>
    </row>
    <row r="28" spans="1:8" x14ac:dyDescent="0.35">
      <c r="A28" s="45" t="s">
        <v>9</v>
      </c>
      <c r="B28" s="46" t="s">
        <v>31</v>
      </c>
      <c r="C28" s="46" t="s">
        <v>375</v>
      </c>
      <c r="D28" s="47">
        <v>13</v>
      </c>
      <c r="E28" s="30">
        <v>43792</v>
      </c>
      <c r="F28" s="31">
        <v>0.55760416666666668</v>
      </c>
      <c r="G28" s="47"/>
      <c r="H28" s="48">
        <v>73</v>
      </c>
    </row>
    <row r="29" spans="1:8" x14ac:dyDescent="0.35">
      <c r="A29" s="41" t="s">
        <v>9</v>
      </c>
      <c r="B29" s="42" t="s">
        <v>71</v>
      </c>
      <c r="C29" s="42" t="s">
        <v>376</v>
      </c>
      <c r="D29" s="43">
        <v>1</v>
      </c>
      <c r="E29" s="50">
        <v>43806</v>
      </c>
      <c r="F29" s="51">
        <v>0.56821759259259264</v>
      </c>
      <c r="G29" s="43"/>
      <c r="H29" s="44">
        <v>62</v>
      </c>
    </row>
    <row r="30" spans="1:8" x14ac:dyDescent="0.35">
      <c r="A30" s="27" t="s">
        <v>9</v>
      </c>
      <c r="B30" s="28" t="s">
        <v>92</v>
      </c>
      <c r="C30" s="28" t="s">
        <v>376</v>
      </c>
      <c r="D30" s="29">
        <v>1</v>
      </c>
      <c r="E30" s="39">
        <v>43816</v>
      </c>
      <c r="F30" s="40">
        <v>0.60295138888888888</v>
      </c>
      <c r="G30" s="40">
        <v>0.63655092592592588</v>
      </c>
      <c r="H30" s="32">
        <v>48</v>
      </c>
    </row>
    <row r="31" spans="1:8" x14ac:dyDescent="0.35">
      <c r="A31" s="41" t="s">
        <v>9</v>
      </c>
      <c r="B31" s="42" t="s">
        <v>57</v>
      </c>
      <c r="C31" s="42" t="s">
        <v>376</v>
      </c>
      <c r="D31" s="43">
        <v>1</v>
      </c>
      <c r="E31" s="50">
        <v>43796</v>
      </c>
      <c r="F31" s="51">
        <v>0.53070601851851851</v>
      </c>
      <c r="G31" s="43"/>
      <c r="H31" s="44">
        <v>62</v>
      </c>
    </row>
    <row r="32" spans="1:8" x14ac:dyDescent="0.35">
      <c r="A32" s="45" t="s">
        <v>9</v>
      </c>
      <c r="B32" s="46" t="s">
        <v>47</v>
      </c>
      <c r="C32" s="46" t="s">
        <v>375</v>
      </c>
      <c r="D32" s="47">
        <v>13</v>
      </c>
      <c r="E32" s="30">
        <v>43796</v>
      </c>
      <c r="F32" s="31">
        <v>0.51710648148148153</v>
      </c>
      <c r="G32" s="47"/>
      <c r="H32" s="48">
        <v>22</v>
      </c>
    </row>
    <row r="33" spans="1:8" x14ac:dyDescent="0.35">
      <c r="A33" s="33" t="s">
        <v>9</v>
      </c>
      <c r="B33" s="34" t="s">
        <v>40</v>
      </c>
      <c r="C33" s="34" t="s">
        <v>375</v>
      </c>
      <c r="D33" s="35">
        <v>13</v>
      </c>
      <c r="E33" s="55">
        <v>43794</v>
      </c>
      <c r="F33" s="56">
        <v>0.42222222222222222</v>
      </c>
      <c r="G33" s="35"/>
      <c r="H33" s="54">
        <v>62</v>
      </c>
    </row>
    <row r="34" spans="1:8" x14ac:dyDescent="0.35">
      <c r="A34" s="27" t="s">
        <v>9</v>
      </c>
      <c r="B34" s="28" t="s">
        <v>73</v>
      </c>
      <c r="C34" s="28" t="s">
        <v>376</v>
      </c>
      <c r="D34" s="29">
        <v>1</v>
      </c>
      <c r="E34" s="39">
        <v>43808</v>
      </c>
      <c r="F34" s="40">
        <v>0.593287037037037</v>
      </c>
      <c r="G34" s="29"/>
      <c r="H34" s="32">
        <v>60</v>
      </c>
    </row>
    <row r="35" spans="1:8" x14ac:dyDescent="0.35">
      <c r="A35" s="41" t="s">
        <v>9</v>
      </c>
      <c r="B35" s="42" t="s">
        <v>19</v>
      </c>
      <c r="C35" s="42" t="s">
        <v>376</v>
      </c>
      <c r="D35" s="43">
        <v>1</v>
      </c>
      <c r="E35" s="50">
        <v>43776</v>
      </c>
      <c r="F35" s="51">
        <v>0.50972222222222219</v>
      </c>
      <c r="G35" s="43"/>
      <c r="H35" s="52">
        <v>148.80000000000001</v>
      </c>
    </row>
    <row r="36" spans="1:8" x14ac:dyDescent="0.35">
      <c r="A36" s="27" t="s">
        <v>9</v>
      </c>
      <c r="B36" s="28" t="s">
        <v>19</v>
      </c>
      <c r="C36" s="28" t="s">
        <v>374</v>
      </c>
      <c r="D36" s="29">
        <v>7</v>
      </c>
      <c r="E36" s="30">
        <v>43782</v>
      </c>
      <c r="F36" s="31">
        <v>0.59504629629629635</v>
      </c>
      <c r="G36" s="29"/>
      <c r="H36" s="32" t="e">
        <v>#VALUE!</v>
      </c>
    </row>
    <row r="37" spans="1:8" x14ac:dyDescent="0.35">
      <c r="A37" s="41" t="s">
        <v>9</v>
      </c>
      <c r="B37" s="42" t="s">
        <v>41</v>
      </c>
      <c r="C37" s="42" t="s">
        <v>376</v>
      </c>
      <c r="D37" s="43">
        <v>1</v>
      </c>
      <c r="E37" s="50">
        <v>43783</v>
      </c>
      <c r="F37" s="51">
        <v>0.64280092592592597</v>
      </c>
      <c r="G37" s="43"/>
      <c r="H37" s="52">
        <v>34.366666670000001</v>
      </c>
    </row>
    <row r="38" spans="1:8" x14ac:dyDescent="0.35">
      <c r="A38" s="45" t="s">
        <v>9</v>
      </c>
      <c r="B38" s="46" t="s">
        <v>41</v>
      </c>
      <c r="C38" s="46" t="s">
        <v>375</v>
      </c>
      <c r="D38" s="47">
        <v>13</v>
      </c>
      <c r="E38" s="30">
        <v>43794</v>
      </c>
      <c r="F38" s="31">
        <v>0.46883101851851849</v>
      </c>
      <c r="G38" s="47"/>
      <c r="H38" s="48">
        <v>79</v>
      </c>
    </row>
    <row r="39" spans="1:8" x14ac:dyDescent="0.35">
      <c r="A39" s="41" t="s">
        <v>9</v>
      </c>
      <c r="B39" s="42" t="s">
        <v>54</v>
      </c>
      <c r="C39" s="42" t="s">
        <v>376</v>
      </c>
      <c r="D39" s="43">
        <v>1</v>
      </c>
      <c r="E39" s="50">
        <v>43793</v>
      </c>
      <c r="F39" s="51">
        <v>0.56319444444444444</v>
      </c>
      <c r="G39" s="43"/>
      <c r="H39" s="44">
        <v>61</v>
      </c>
    </row>
    <row r="40" spans="1:8" x14ac:dyDescent="0.35">
      <c r="A40" s="45" t="s">
        <v>9</v>
      </c>
      <c r="B40" s="46" t="s">
        <v>54</v>
      </c>
      <c r="C40" s="46" t="s">
        <v>375</v>
      </c>
      <c r="D40" s="47">
        <v>13</v>
      </c>
      <c r="E40" s="57">
        <v>43804</v>
      </c>
      <c r="F40" s="58">
        <v>0.46724537037037039</v>
      </c>
      <c r="G40" s="47"/>
      <c r="H40" s="48">
        <v>67</v>
      </c>
    </row>
    <row r="41" spans="1:8" x14ac:dyDescent="0.35">
      <c r="A41" s="41" t="s">
        <v>9</v>
      </c>
      <c r="B41" s="42" t="s">
        <v>29</v>
      </c>
      <c r="C41" s="42" t="s">
        <v>374</v>
      </c>
      <c r="D41" s="43">
        <v>7</v>
      </c>
      <c r="E41" s="36">
        <v>43803</v>
      </c>
      <c r="F41" s="37">
        <v>0.51778935185185182</v>
      </c>
      <c r="G41" s="43"/>
      <c r="H41" s="52">
        <v>150.96666669999999</v>
      </c>
    </row>
    <row r="42" spans="1:8" x14ac:dyDescent="0.35">
      <c r="A42" s="27" t="s">
        <v>9</v>
      </c>
      <c r="B42" s="28" t="s">
        <v>28</v>
      </c>
      <c r="C42" s="28" t="s">
        <v>374</v>
      </c>
      <c r="D42" s="29">
        <v>7</v>
      </c>
      <c r="E42" s="30">
        <v>43782</v>
      </c>
      <c r="F42" s="31">
        <v>0.53880787037037037</v>
      </c>
      <c r="G42" s="29"/>
      <c r="H42" s="32">
        <v>62</v>
      </c>
    </row>
    <row r="43" spans="1:8" x14ac:dyDescent="0.35">
      <c r="A43" s="41" t="s">
        <v>9</v>
      </c>
      <c r="B43" s="42" t="s">
        <v>66</v>
      </c>
      <c r="C43" s="42" t="s">
        <v>376</v>
      </c>
      <c r="D43" s="43">
        <v>1</v>
      </c>
      <c r="E43" s="50">
        <v>43805</v>
      </c>
      <c r="F43" s="51">
        <v>0.51490740740740737</v>
      </c>
      <c r="G43" s="43"/>
      <c r="H43" s="44">
        <v>73</v>
      </c>
    </row>
    <row r="44" spans="1:8" x14ac:dyDescent="0.35">
      <c r="A44" s="45" t="s">
        <v>9</v>
      </c>
      <c r="B44" s="46" t="s">
        <v>18</v>
      </c>
      <c r="C44" s="46" t="s">
        <v>376</v>
      </c>
      <c r="D44" s="59">
        <v>1</v>
      </c>
      <c r="E44" s="60">
        <v>43774</v>
      </c>
      <c r="F44" s="61">
        <v>0.5753125</v>
      </c>
      <c r="G44" s="47"/>
      <c r="H44" s="48">
        <v>63</v>
      </c>
    </row>
    <row r="45" spans="1:8" x14ac:dyDescent="0.35">
      <c r="A45" s="41" t="s">
        <v>9</v>
      </c>
      <c r="B45" s="42" t="s">
        <v>18</v>
      </c>
      <c r="C45" s="42" t="s">
        <v>376</v>
      </c>
      <c r="D45" s="49">
        <v>3</v>
      </c>
      <c r="E45" s="50">
        <v>43776</v>
      </c>
      <c r="F45" s="51">
        <v>0.57430555555555551</v>
      </c>
      <c r="G45" s="43"/>
      <c r="H45" s="44">
        <v>60</v>
      </c>
    </row>
    <row r="46" spans="1:8" x14ac:dyDescent="0.35">
      <c r="A46" s="27" t="s">
        <v>9</v>
      </c>
      <c r="B46" s="28" t="s">
        <v>69</v>
      </c>
      <c r="C46" s="28" t="s">
        <v>376</v>
      </c>
      <c r="D46" s="29">
        <v>1</v>
      </c>
      <c r="E46" s="39">
        <v>43806</v>
      </c>
      <c r="F46" s="40">
        <v>0.51105324074074077</v>
      </c>
      <c r="G46" s="29"/>
      <c r="H46" s="32">
        <v>70</v>
      </c>
    </row>
    <row r="47" spans="1:8" x14ac:dyDescent="0.35">
      <c r="A47" s="41" t="s">
        <v>9</v>
      </c>
      <c r="B47" s="42" t="s">
        <v>17</v>
      </c>
      <c r="C47" s="42" t="s">
        <v>376</v>
      </c>
      <c r="D47" s="43">
        <v>2</v>
      </c>
      <c r="E47" s="50">
        <v>43774</v>
      </c>
      <c r="F47" s="51">
        <v>0.5229166666666667</v>
      </c>
      <c r="G47" s="43"/>
      <c r="H47" s="44">
        <v>60</v>
      </c>
    </row>
    <row r="48" spans="1:8" x14ac:dyDescent="0.35">
      <c r="A48" s="27" t="s">
        <v>9</v>
      </c>
      <c r="B48" s="28" t="s">
        <v>17</v>
      </c>
      <c r="C48" s="28" t="s">
        <v>374</v>
      </c>
      <c r="D48" s="29">
        <v>8</v>
      </c>
      <c r="E48" s="57">
        <v>43781</v>
      </c>
      <c r="F48" s="58">
        <v>0.42151620370370368</v>
      </c>
      <c r="G48" s="29"/>
      <c r="H48" s="32">
        <v>93</v>
      </c>
    </row>
    <row r="49" spans="1:8" x14ac:dyDescent="0.35">
      <c r="A49" s="33" t="s">
        <v>9</v>
      </c>
      <c r="B49" s="34" t="s">
        <v>17</v>
      </c>
      <c r="C49" s="34" t="s">
        <v>375</v>
      </c>
      <c r="D49" s="35">
        <v>13</v>
      </c>
      <c r="E49" s="36">
        <v>43787</v>
      </c>
      <c r="F49" s="37">
        <v>0.59944444444444445</v>
      </c>
      <c r="G49" s="35"/>
      <c r="H49" s="54">
        <v>57</v>
      </c>
    </row>
    <row r="50" spans="1:8" x14ac:dyDescent="0.35">
      <c r="A50" s="27" t="s">
        <v>9</v>
      </c>
      <c r="B50" s="28" t="s">
        <v>45</v>
      </c>
      <c r="C50" s="28" t="s">
        <v>374</v>
      </c>
      <c r="D50" s="29">
        <v>7</v>
      </c>
      <c r="E50" s="30">
        <v>43791</v>
      </c>
      <c r="F50" s="31">
        <v>0.40824074074074074</v>
      </c>
      <c r="G50" s="29"/>
      <c r="H50" s="32">
        <v>65</v>
      </c>
    </row>
    <row r="51" spans="1:8" x14ac:dyDescent="0.35">
      <c r="A51" s="33" t="s">
        <v>9</v>
      </c>
      <c r="B51" s="34" t="s">
        <v>45</v>
      </c>
      <c r="C51" s="34" t="s">
        <v>375</v>
      </c>
      <c r="D51" s="35">
        <v>13</v>
      </c>
      <c r="E51" s="55">
        <v>43797</v>
      </c>
      <c r="F51" s="56">
        <v>0.39725694444444443</v>
      </c>
      <c r="G51" s="35"/>
      <c r="H51" s="54">
        <v>140</v>
      </c>
    </row>
    <row r="52" spans="1:8" x14ac:dyDescent="0.35">
      <c r="A52" s="27" t="s">
        <v>9</v>
      </c>
      <c r="B52" s="28" t="s">
        <v>60</v>
      </c>
      <c r="C52" s="28" t="s">
        <v>376</v>
      </c>
      <c r="D52" s="29">
        <v>1</v>
      </c>
      <c r="E52" s="39">
        <v>43797</v>
      </c>
      <c r="F52" s="40">
        <v>0.49071759259259257</v>
      </c>
      <c r="G52" s="29"/>
      <c r="H52" s="32">
        <v>60</v>
      </c>
    </row>
    <row r="53" spans="1:8" x14ac:dyDescent="0.35">
      <c r="A53" s="41" t="s">
        <v>9</v>
      </c>
      <c r="B53" s="42" t="s">
        <v>60</v>
      </c>
      <c r="C53" s="42" t="s">
        <v>374</v>
      </c>
      <c r="D53" s="43">
        <v>7</v>
      </c>
      <c r="E53" s="36">
        <v>43803</v>
      </c>
      <c r="F53" s="37">
        <v>0.46184027777777775</v>
      </c>
      <c r="G53" s="43"/>
      <c r="H53" s="44">
        <v>82</v>
      </c>
    </row>
    <row r="54" spans="1:8" x14ac:dyDescent="0.35">
      <c r="A54" s="27" t="s">
        <v>9</v>
      </c>
      <c r="B54" s="28" t="s">
        <v>72</v>
      </c>
      <c r="C54" s="28" t="s">
        <v>376</v>
      </c>
      <c r="D54" s="29">
        <v>1</v>
      </c>
      <c r="E54" s="39">
        <v>43808</v>
      </c>
      <c r="F54" s="40">
        <v>0.52593749999999995</v>
      </c>
      <c r="G54" s="29"/>
      <c r="H54" s="32">
        <v>67</v>
      </c>
    </row>
    <row r="55" spans="1:8" x14ac:dyDescent="0.35">
      <c r="A55" s="41" t="s">
        <v>9</v>
      </c>
      <c r="B55" s="42" t="s">
        <v>65</v>
      </c>
      <c r="C55" s="42" t="s">
        <v>376</v>
      </c>
      <c r="D55" s="43">
        <v>2</v>
      </c>
      <c r="E55" s="50">
        <v>43803</v>
      </c>
      <c r="F55" s="37">
        <v>0.58296296296296302</v>
      </c>
      <c r="G55" s="43"/>
      <c r="H55" s="44">
        <v>85</v>
      </c>
    </row>
    <row r="56" spans="1:8" x14ac:dyDescent="0.35">
      <c r="A56" s="27" t="s">
        <v>9</v>
      </c>
      <c r="B56" s="28" t="s">
        <v>65</v>
      </c>
      <c r="C56" s="28" t="s">
        <v>374</v>
      </c>
      <c r="D56" s="29">
        <v>7</v>
      </c>
      <c r="E56" s="30">
        <v>43808</v>
      </c>
      <c r="F56" s="31">
        <v>0.48358796296296297</v>
      </c>
      <c r="G56" s="29"/>
      <c r="H56" s="32">
        <v>73</v>
      </c>
    </row>
    <row r="57" spans="1:8" x14ac:dyDescent="0.35">
      <c r="A57" s="33" t="s">
        <v>9</v>
      </c>
      <c r="B57" s="34" t="s">
        <v>22</v>
      </c>
      <c r="C57" s="34" t="s">
        <v>376</v>
      </c>
      <c r="D57" s="59">
        <v>1</v>
      </c>
      <c r="E57" s="62">
        <v>43776</v>
      </c>
      <c r="F57" s="56">
        <v>0.57991898148148147</v>
      </c>
      <c r="G57" s="35"/>
      <c r="H57" s="38">
        <v>149.43333329999999</v>
      </c>
    </row>
    <row r="58" spans="1:8" x14ac:dyDescent="0.35">
      <c r="A58" s="27" t="s">
        <v>9</v>
      </c>
      <c r="B58" s="28" t="s">
        <v>22</v>
      </c>
      <c r="C58" s="28" t="s">
        <v>376</v>
      </c>
      <c r="D58" s="49">
        <v>2</v>
      </c>
      <c r="E58" s="39">
        <v>43777</v>
      </c>
      <c r="F58" s="31">
        <v>0.56180555555555556</v>
      </c>
      <c r="G58" s="29"/>
      <c r="H58" s="53">
        <v>149.43333329999999</v>
      </c>
    </row>
    <row r="59" spans="1:8" x14ac:dyDescent="0.35">
      <c r="A59" s="41" t="s">
        <v>9</v>
      </c>
      <c r="B59" s="42" t="s">
        <v>22</v>
      </c>
      <c r="C59" s="42" t="s">
        <v>374</v>
      </c>
      <c r="D59" s="43">
        <v>7</v>
      </c>
      <c r="E59" s="36">
        <v>43783</v>
      </c>
      <c r="F59" s="37">
        <v>0.43936342592592592</v>
      </c>
      <c r="G59" s="43"/>
      <c r="H59" s="44">
        <v>59</v>
      </c>
    </row>
    <row r="60" spans="1:8" x14ac:dyDescent="0.35">
      <c r="A60" s="45" t="s">
        <v>9</v>
      </c>
      <c r="B60" s="46" t="s">
        <v>22</v>
      </c>
      <c r="C60" s="46" t="s">
        <v>375</v>
      </c>
      <c r="D60" s="47">
        <v>13</v>
      </c>
      <c r="E60" s="30">
        <v>43789</v>
      </c>
      <c r="F60" s="31">
        <v>0.52638888888888891</v>
      </c>
      <c r="G60" s="47"/>
      <c r="H60" s="48">
        <v>70</v>
      </c>
    </row>
    <row r="61" spans="1:8" x14ac:dyDescent="0.35">
      <c r="A61" s="41" t="s">
        <v>9</v>
      </c>
      <c r="B61" s="42" t="s">
        <v>44</v>
      </c>
      <c r="C61" s="42" t="s">
        <v>374</v>
      </c>
      <c r="D61" s="43">
        <v>7</v>
      </c>
      <c r="E61" s="36">
        <v>43790</v>
      </c>
      <c r="F61" s="37">
        <v>0.62609953703703702</v>
      </c>
      <c r="G61" s="43"/>
      <c r="H61" s="44">
        <v>23.333333333333336</v>
      </c>
    </row>
    <row r="62" spans="1:8" x14ac:dyDescent="0.35">
      <c r="A62" s="45" t="s">
        <v>9</v>
      </c>
      <c r="B62" s="46" t="s">
        <v>44</v>
      </c>
      <c r="C62" s="46" t="s">
        <v>375</v>
      </c>
      <c r="D62" s="47">
        <v>13</v>
      </c>
      <c r="E62" s="30">
        <v>43796</v>
      </c>
      <c r="F62" s="31">
        <v>0.45939814814814817</v>
      </c>
      <c r="G62" s="47"/>
      <c r="H62" s="48">
        <v>61</v>
      </c>
    </row>
    <row r="63" spans="1:8" x14ac:dyDescent="0.35">
      <c r="A63" s="41" t="s">
        <v>9</v>
      </c>
      <c r="B63" s="42" t="s">
        <v>14</v>
      </c>
      <c r="C63" s="42" t="s">
        <v>376</v>
      </c>
      <c r="D63" s="43">
        <v>1</v>
      </c>
      <c r="E63" s="50">
        <v>43775</v>
      </c>
      <c r="F63" s="37">
        <v>0.67222222222222228</v>
      </c>
      <c r="G63" s="43"/>
      <c r="H63" s="44">
        <v>64</v>
      </c>
    </row>
    <row r="64" spans="1:8" x14ac:dyDescent="0.35">
      <c r="A64" s="27" t="s">
        <v>9</v>
      </c>
      <c r="B64" s="28" t="s">
        <v>14</v>
      </c>
      <c r="C64" s="28" t="s">
        <v>374</v>
      </c>
      <c r="D64" s="29">
        <v>7</v>
      </c>
      <c r="E64" s="30">
        <v>43780</v>
      </c>
      <c r="F64" s="31">
        <v>0.46074074074074073</v>
      </c>
      <c r="G64" s="29"/>
      <c r="H64" s="32">
        <v>60.55</v>
      </c>
    </row>
    <row r="65" spans="1:8" x14ac:dyDescent="0.35">
      <c r="A65" s="33" t="s">
        <v>9</v>
      </c>
      <c r="B65" s="34" t="s">
        <v>14</v>
      </c>
      <c r="C65" s="34" t="s">
        <v>375</v>
      </c>
      <c r="D65" s="35">
        <v>13</v>
      </c>
      <c r="E65" s="36">
        <v>43786</v>
      </c>
      <c r="F65" s="37">
        <v>0.6</v>
      </c>
      <c r="G65" s="35"/>
      <c r="H65" s="54">
        <v>11</v>
      </c>
    </row>
    <row r="66" spans="1:8" x14ac:dyDescent="0.35">
      <c r="A66" s="45" t="s">
        <v>9</v>
      </c>
      <c r="B66" s="46" t="s">
        <v>27</v>
      </c>
      <c r="C66" s="46" t="s">
        <v>375</v>
      </c>
      <c r="D66" s="47">
        <v>13</v>
      </c>
      <c r="E66" s="57">
        <v>43790</v>
      </c>
      <c r="F66" s="58">
        <v>0.69170138888888888</v>
      </c>
      <c r="G66" s="47"/>
      <c r="H66" s="48">
        <v>61</v>
      </c>
    </row>
    <row r="67" spans="1:8" x14ac:dyDescent="0.35">
      <c r="A67" s="41" t="s">
        <v>9</v>
      </c>
      <c r="B67" s="42" t="s">
        <v>56</v>
      </c>
      <c r="C67" s="42" t="s">
        <v>376</v>
      </c>
      <c r="D67" s="43">
        <v>1</v>
      </c>
      <c r="E67" s="50">
        <v>43795</v>
      </c>
      <c r="F67" s="37">
        <v>0.57357638888888884</v>
      </c>
      <c r="G67" s="43"/>
      <c r="H67" s="52">
        <v>33.516666669999999</v>
      </c>
    </row>
    <row r="68" spans="1:8" x14ac:dyDescent="0.35">
      <c r="A68" s="27" t="s">
        <v>9</v>
      </c>
      <c r="B68" s="28" t="s">
        <v>12</v>
      </c>
      <c r="C68" s="28" t="s">
        <v>376</v>
      </c>
      <c r="D68" s="29">
        <v>3</v>
      </c>
      <c r="E68" s="39">
        <v>43771</v>
      </c>
      <c r="F68" s="31">
        <v>0.52222222222222225</v>
      </c>
      <c r="G68" s="29"/>
      <c r="H68" s="32">
        <v>70.8</v>
      </c>
    </row>
    <row r="69" spans="1:8" x14ac:dyDescent="0.35">
      <c r="A69" s="41" t="s">
        <v>9</v>
      </c>
      <c r="B69" s="42" t="s">
        <v>12</v>
      </c>
      <c r="C69" s="42" t="s">
        <v>374</v>
      </c>
      <c r="D69" s="43">
        <v>7</v>
      </c>
      <c r="E69" s="36">
        <v>43776</v>
      </c>
      <c r="F69" s="37">
        <v>0.46296296296296297</v>
      </c>
      <c r="G69" s="43"/>
      <c r="H69" s="44">
        <v>64</v>
      </c>
    </row>
    <row r="70" spans="1:8" x14ac:dyDescent="0.35">
      <c r="A70" s="45" t="s">
        <v>9</v>
      </c>
      <c r="B70" s="46" t="s">
        <v>12</v>
      </c>
      <c r="C70" s="46" t="s">
        <v>375</v>
      </c>
      <c r="D70" s="47">
        <v>13</v>
      </c>
      <c r="E70" s="57">
        <v>43782</v>
      </c>
      <c r="F70" s="58">
        <v>0.44444444444444442</v>
      </c>
      <c r="G70" s="47"/>
      <c r="H70" s="63">
        <v>59.916666669999998</v>
      </c>
    </row>
    <row r="71" spans="1:8" x14ac:dyDescent="0.35">
      <c r="A71" s="41" t="s">
        <v>9</v>
      </c>
      <c r="B71" s="42" t="s">
        <v>67</v>
      </c>
      <c r="C71" s="42" t="s">
        <v>376</v>
      </c>
      <c r="D71" s="43">
        <v>1</v>
      </c>
      <c r="E71" s="50">
        <v>43805</v>
      </c>
      <c r="F71" s="37">
        <v>0.71472222222222226</v>
      </c>
      <c r="G71" s="43"/>
      <c r="H71" s="52">
        <v>9.1333333329999995</v>
      </c>
    </row>
    <row r="72" spans="1:8" x14ac:dyDescent="0.35">
      <c r="A72" s="27" t="s">
        <v>9</v>
      </c>
      <c r="B72" s="28" t="s">
        <v>11</v>
      </c>
      <c r="C72" s="28" t="s">
        <v>376</v>
      </c>
      <c r="D72" s="29">
        <v>3</v>
      </c>
      <c r="E72" s="39">
        <v>43771</v>
      </c>
      <c r="F72" s="31">
        <v>0.52361111111111114</v>
      </c>
      <c r="G72" s="29"/>
      <c r="H72" s="32">
        <v>78</v>
      </c>
    </row>
    <row r="73" spans="1:8" x14ac:dyDescent="0.35">
      <c r="A73" s="41" t="s">
        <v>9</v>
      </c>
      <c r="B73" s="42" t="s">
        <v>11</v>
      </c>
      <c r="C73" s="42" t="s">
        <v>374</v>
      </c>
      <c r="D73" s="43">
        <v>8</v>
      </c>
      <c r="E73" s="36">
        <v>43775</v>
      </c>
      <c r="F73" s="37">
        <v>0.55115740740740737</v>
      </c>
      <c r="G73" s="43"/>
      <c r="H73" s="44">
        <v>61</v>
      </c>
    </row>
    <row r="74" spans="1:8" x14ac:dyDescent="0.35">
      <c r="A74" s="27" t="s">
        <v>9</v>
      </c>
      <c r="B74" s="28" t="s">
        <v>64</v>
      </c>
      <c r="C74" s="28" t="s">
        <v>376</v>
      </c>
      <c r="D74" s="29">
        <v>1</v>
      </c>
      <c r="E74" s="39">
        <v>43800</v>
      </c>
      <c r="F74" s="58">
        <v>0.59180555555555558</v>
      </c>
      <c r="G74" s="29"/>
      <c r="H74" s="32">
        <v>22</v>
      </c>
    </row>
    <row r="75" spans="1:8" x14ac:dyDescent="0.35">
      <c r="A75" s="41" t="s">
        <v>9</v>
      </c>
      <c r="B75" s="42" t="s">
        <v>64</v>
      </c>
      <c r="C75" s="42" t="s">
        <v>374</v>
      </c>
      <c r="D75" s="43">
        <v>7</v>
      </c>
      <c r="E75" s="36">
        <v>43807</v>
      </c>
      <c r="F75" s="37">
        <v>0.50399305555555551</v>
      </c>
      <c r="G75" s="43"/>
      <c r="H75" s="44">
        <v>63</v>
      </c>
    </row>
    <row r="76" spans="1:8" x14ac:dyDescent="0.35">
      <c r="A76" s="27" t="s">
        <v>9</v>
      </c>
      <c r="B76" s="28" t="s">
        <v>39</v>
      </c>
      <c r="C76" s="28" t="s">
        <v>376</v>
      </c>
      <c r="D76" s="29">
        <v>1</v>
      </c>
      <c r="E76" s="39">
        <v>43783</v>
      </c>
      <c r="F76" s="31">
        <v>0.50555555555555554</v>
      </c>
      <c r="G76" s="29"/>
      <c r="H76" s="32">
        <v>61</v>
      </c>
    </row>
    <row r="77" spans="1:8" x14ac:dyDescent="0.35">
      <c r="A77" s="41" t="s">
        <v>9</v>
      </c>
      <c r="B77" s="42" t="s">
        <v>39</v>
      </c>
      <c r="C77" s="42" t="s">
        <v>374</v>
      </c>
      <c r="D77" s="43">
        <v>7</v>
      </c>
      <c r="E77" s="55">
        <v>43789</v>
      </c>
      <c r="F77" s="56">
        <v>0.7</v>
      </c>
      <c r="G77" s="43"/>
      <c r="H77" s="44">
        <v>62</v>
      </c>
    </row>
    <row r="78" spans="1:8" x14ac:dyDescent="0.35">
      <c r="A78" s="45" t="s">
        <v>9</v>
      </c>
      <c r="B78" s="46" t="s">
        <v>39</v>
      </c>
      <c r="C78" s="46" t="s">
        <v>375</v>
      </c>
      <c r="D78" s="47">
        <v>13</v>
      </c>
      <c r="E78" s="57">
        <v>43795</v>
      </c>
      <c r="F78" s="58">
        <v>0.50902777777777775</v>
      </c>
      <c r="G78" s="47"/>
      <c r="H78" s="48">
        <v>19</v>
      </c>
    </row>
    <row r="79" spans="1:8" x14ac:dyDescent="0.35">
      <c r="A79" s="41" t="s">
        <v>9</v>
      </c>
      <c r="B79" s="42" t="s">
        <v>34</v>
      </c>
      <c r="C79" s="42" t="s">
        <v>376</v>
      </c>
      <c r="D79" s="43">
        <v>1</v>
      </c>
      <c r="E79" s="50">
        <v>43782</v>
      </c>
      <c r="F79" s="37">
        <v>0.63761574074074079</v>
      </c>
      <c r="G79" s="43"/>
      <c r="H79" s="44">
        <v>73</v>
      </c>
    </row>
    <row r="80" spans="1:8" x14ac:dyDescent="0.35">
      <c r="A80" s="27" t="s">
        <v>9</v>
      </c>
      <c r="B80" s="28" t="s">
        <v>34</v>
      </c>
      <c r="C80" s="28" t="s">
        <v>374</v>
      </c>
      <c r="D80" s="29">
        <v>8</v>
      </c>
      <c r="E80" s="30">
        <v>43790</v>
      </c>
      <c r="F80" s="31">
        <v>0.50332175925925926</v>
      </c>
      <c r="G80" s="29"/>
      <c r="H80" s="32">
        <v>56</v>
      </c>
    </row>
    <row r="81" spans="1:8" x14ac:dyDescent="0.35">
      <c r="A81" s="41" t="s">
        <v>9</v>
      </c>
      <c r="B81" s="42" t="s">
        <v>51</v>
      </c>
      <c r="C81" s="42" t="s">
        <v>376</v>
      </c>
      <c r="D81" s="43">
        <v>1</v>
      </c>
      <c r="E81" s="36">
        <v>43792</v>
      </c>
      <c r="F81" s="37">
        <v>0.63068287037037041</v>
      </c>
      <c r="G81" s="43"/>
      <c r="H81" s="44">
        <v>65</v>
      </c>
    </row>
    <row r="82" spans="1:8" x14ac:dyDescent="0.35">
      <c r="A82" s="27" t="s">
        <v>9</v>
      </c>
      <c r="B82" s="28" t="s">
        <v>49</v>
      </c>
      <c r="C82" s="28" t="s">
        <v>376</v>
      </c>
      <c r="D82" s="29">
        <v>1</v>
      </c>
      <c r="E82" s="30">
        <v>43788</v>
      </c>
      <c r="F82" s="31">
        <v>0.57708333333333328</v>
      </c>
      <c r="G82" s="29"/>
      <c r="H82" s="32">
        <v>60</v>
      </c>
    </row>
    <row r="83" spans="1:8" x14ac:dyDescent="0.35">
      <c r="A83" s="41" t="s">
        <v>9</v>
      </c>
      <c r="B83" s="42" t="s">
        <v>49</v>
      </c>
      <c r="C83" s="42" t="s">
        <v>374</v>
      </c>
      <c r="D83" s="43">
        <v>7</v>
      </c>
      <c r="E83" s="36">
        <v>43795</v>
      </c>
      <c r="F83" s="37">
        <v>0.53194444444444444</v>
      </c>
      <c r="G83" s="43"/>
      <c r="H83" s="44">
        <v>27</v>
      </c>
    </row>
    <row r="84" spans="1:8" x14ac:dyDescent="0.35">
      <c r="A84" s="27" t="s">
        <v>9</v>
      </c>
      <c r="B84" s="28" t="s">
        <v>59</v>
      </c>
      <c r="C84" s="28" t="s">
        <v>376</v>
      </c>
      <c r="D84" s="29">
        <v>1</v>
      </c>
      <c r="E84" s="30">
        <v>43796</v>
      </c>
      <c r="F84" s="31">
        <v>0.72934027777777777</v>
      </c>
      <c r="G84" s="29"/>
      <c r="H84" s="32">
        <v>36</v>
      </c>
    </row>
    <row r="85" spans="1:8" x14ac:dyDescent="0.35">
      <c r="A85" s="41" t="s">
        <v>9</v>
      </c>
      <c r="B85" s="42" t="s">
        <v>59</v>
      </c>
      <c r="C85" s="42" t="s">
        <v>374</v>
      </c>
      <c r="D85" s="43">
        <v>7</v>
      </c>
      <c r="E85" s="36">
        <v>43802</v>
      </c>
      <c r="F85" s="37">
        <v>0.52877314814814813</v>
      </c>
      <c r="G85" s="43"/>
      <c r="H85" s="44">
        <v>83</v>
      </c>
    </row>
    <row r="86" spans="1:8" x14ac:dyDescent="0.35">
      <c r="A86" s="45" t="s">
        <v>9</v>
      </c>
      <c r="B86" s="46" t="s">
        <v>59</v>
      </c>
      <c r="C86" s="46" t="s">
        <v>375</v>
      </c>
      <c r="D86" s="47">
        <v>13</v>
      </c>
      <c r="E86" s="57">
        <v>43808</v>
      </c>
      <c r="F86" s="58">
        <v>0.40856481481481483</v>
      </c>
      <c r="G86" s="47"/>
      <c r="H86" s="48">
        <v>63</v>
      </c>
    </row>
    <row r="87" spans="1:8" x14ac:dyDescent="0.35">
      <c r="A87" s="41" t="s">
        <v>9</v>
      </c>
      <c r="B87" s="42" t="s">
        <v>70</v>
      </c>
      <c r="C87" s="42" t="s">
        <v>376</v>
      </c>
      <c r="D87" s="43">
        <v>1</v>
      </c>
      <c r="E87" s="36">
        <v>43806</v>
      </c>
      <c r="F87" s="37">
        <v>0.64645833333333336</v>
      </c>
      <c r="G87" s="43"/>
      <c r="H87" s="44">
        <v>60</v>
      </c>
    </row>
    <row r="88" spans="1:8" x14ac:dyDescent="0.35">
      <c r="A88" s="27" t="s">
        <v>9</v>
      </c>
      <c r="B88" s="28" t="s">
        <v>48</v>
      </c>
      <c r="C88" s="28" t="s">
        <v>376</v>
      </c>
      <c r="D88" s="29">
        <v>1</v>
      </c>
      <c r="E88" s="30">
        <v>43789</v>
      </c>
      <c r="F88" s="31">
        <v>0.57385416666666667</v>
      </c>
      <c r="G88" s="29"/>
      <c r="H88" s="32">
        <v>58</v>
      </c>
    </row>
    <row r="89" spans="1:8" x14ac:dyDescent="0.35">
      <c r="A89" s="33" t="s">
        <v>9</v>
      </c>
      <c r="B89" s="34" t="s">
        <v>48</v>
      </c>
      <c r="C89" s="34" t="s">
        <v>375</v>
      </c>
      <c r="D89" s="35">
        <v>13</v>
      </c>
      <c r="E89" s="36">
        <v>43801</v>
      </c>
      <c r="F89" s="37">
        <v>0.44105324074074076</v>
      </c>
      <c r="G89" s="35"/>
      <c r="H89" s="54">
        <v>65</v>
      </c>
    </row>
    <row r="90" spans="1:8" x14ac:dyDescent="0.35">
      <c r="A90" s="27" t="s">
        <v>9</v>
      </c>
      <c r="B90" s="28" t="s">
        <v>52</v>
      </c>
      <c r="C90" s="28" t="s">
        <v>376</v>
      </c>
      <c r="D90" s="29">
        <v>1</v>
      </c>
      <c r="E90" s="30">
        <v>43793</v>
      </c>
      <c r="F90" s="31">
        <v>0.624537037037037</v>
      </c>
      <c r="G90" s="29"/>
      <c r="H90" s="32">
        <v>17</v>
      </c>
    </row>
    <row r="91" spans="1:8" x14ac:dyDescent="0.35">
      <c r="A91" s="33" t="s">
        <v>9</v>
      </c>
      <c r="B91" s="34" t="s">
        <v>52</v>
      </c>
      <c r="C91" s="34" t="s">
        <v>375</v>
      </c>
      <c r="D91" s="35">
        <v>13</v>
      </c>
      <c r="E91" s="36">
        <v>43804</v>
      </c>
      <c r="F91" s="37">
        <v>0.61738425925925922</v>
      </c>
      <c r="G91" s="35"/>
      <c r="H91" s="54">
        <v>63</v>
      </c>
    </row>
    <row r="92" spans="1:8" x14ac:dyDescent="0.35">
      <c r="A92" s="27" t="s">
        <v>9</v>
      </c>
      <c r="B92" s="28" t="s">
        <v>36</v>
      </c>
      <c r="C92" s="28" t="s">
        <v>376</v>
      </c>
      <c r="D92" s="29">
        <v>1</v>
      </c>
      <c r="E92" s="30">
        <v>43783</v>
      </c>
      <c r="F92" s="31">
        <v>0.69420138888888894</v>
      </c>
      <c r="G92" s="29"/>
      <c r="H92" s="32">
        <v>60</v>
      </c>
    </row>
    <row r="93" spans="1:8" x14ac:dyDescent="0.35">
      <c r="A93" s="41" t="s">
        <v>9</v>
      </c>
      <c r="B93" s="42" t="s">
        <v>36</v>
      </c>
      <c r="C93" s="42" t="s">
        <v>374</v>
      </c>
      <c r="D93" s="43">
        <v>7</v>
      </c>
      <c r="E93" s="36">
        <v>43790</v>
      </c>
      <c r="F93" s="37">
        <v>0.57193287037037033</v>
      </c>
      <c r="G93" s="43"/>
      <c r="H93" s="44">
        <v>3.9166666666666665</v>
      </c>
    </row>
    <row r="94" spans="1:8" x14ac:dyDescent="0.35">
      <c r="A94" s="45" t="s">
        <v>9</v>
      </c>
      <c r="B94" s="46" t="s">
        <v>36</v>
      </c>
      <c r="C94" s="46" t="s">
        <v>375</v>
      </c>
      <c r="D94" s="47">
        <v>13</v>
      </c>
      <c r="E94" s="57">
        <v>43796</v>
      </c>
      <c r="F94" s="58">
        <v>0.40552083333333333</v>
      </c>
      <c r="G94" s="47"/>
      <c r="H94" s="48">
        <v>57</v>
      </c>
    </row>
    <row r="95" spans="1:8" x14ac:dyDescent="0.35">
      <c r="A95" s="41" t="s">
        <v>9</v>
      </c>
      <c r="B95" s="42" t="s">
        <v>13</v>
      </c>
      <c r="C95" s="42" t="s">
        <v>374</v>
      </c>
      <c r="D95" s="43">
        <v>7</v>
      </c>
      <c r="E95" s="36">
        <v>43779</v>
      </c>
      <c r="F95" s="37">
        <v>0.56479166666666669</v>
      </c>
      <c r="G95" s="43"/>
      <c r="H95" s="44">
        <v>60</v>
      </c>
    </row>
    <row r="96" spans="1:8" x14ac:dyDescent="0.35">
      <c r="A96" s="45" t="s">
        <v>9</v>
      </c>
      <c r="B96" s="46" t="s">
        <v>21</v>
      </c>
      <c r="C96" s="46" t="s">
        <v>376</v>
      </c>
      <c r="D96" s="59">
        <v>1</v>
      </c>
      <c r="E96" s="60">
        <v>43775</v>
      </c>
      <c r="F96" s="58">
        <v>0.64328703703703705</v>
      </c>
      <c r="G96" s="47"/>
      <c r="H96" s="48">
        <v>61</v>
      </c>
    </row>
    <row r="97" spans="1:8" x14ac:dyDescent="0.35">
      <c r="A97" s="41" t="s">
        <v>9</v>
      </c>
      <c r="B97" s="42" t="s">
        <v>21</v>
      </c>
      <c r="C97" s="42" t="s">
        <v>376</v>
      </c>
      <c r="D97" s="49">
        <v>2</v>
      </c>
      <c r="E97" s="36">
        <v>43776</v>
      </c>
      <c r="F97" s="37">
        <v>0.64027777777777772</v>
      </c>
      <c r="G97" s="43"/>
      <c r="H97" s="52">
        <v>65.366666670000001</v>
      </c>
    </row>
    <row r="98" spans="1:8" x14ac:dyDescent="0.35">
      <c r="A98" s="27" t="s">
        <v>9</v>
      </c>
      <c r="B98" s="28" t="s">
        <v>21</v>
      </c>
      <c r="C98" s="28" t="s">
        <v>374</v>
      </c>
      <c r="D98" s="29">
        <v>7</v>
      </c>
      <c r="E98" s="30">
        <v>43782</v>
      </c>
      <c r="F98" s="31">
        <v>0.36136574074074074</v>
      </c>
      <c r="G98" s="29"/>
      <c r="H98" s="32">
        <v>63</v>
      </c>
    </row>
    <row r="99" spans="1:8" x14ac:dyDescent="0.35">
      <c r="A99" s="33" t="s">
        <v>9</v>
      </c>
      <c r="B99" s="34" t="s">
        <v>21</v>
      </c>
      <c r="C99" s="34" t="s">
        <v>375</v>
      </c>
      <c r="D99" s="35">
        <v>13</v>
      </c>
      <c r="E99" s="55">
        <v>43788</v>
      </c>
      <c r="F99" s="56">
        <v>0.45775462962962965</v>
      </c>
      <c r="G99" s="35"/>
      <c r="H99" s="54">
        <v>68</v>
      </c>
    </row>
    <row r="100" spans="1:8" x14ac:dyDescent="0.35">
      <c r="A100" s="27" t="s">
        <v>9</v>
      </c>
      <c r="B100" s="28" t="s">
        <v>24</v>
      </c>
      <c r="C100" s="28" t="s">
        <v>376</v>
      </c>
      <c r="D100" s="29">
        <v>1</v>
      </c>
      <c r="E100" s="30">
        <v>43778</v>
      </c>
      <c r="F100" s="31">
        <v>0.55577546296296299</v>
      </c>
      <c r="G100" s="29"/>
      <c r="H100" s="32">
        <v>60</v>
      </c>
    </row>
    <row r="101" spans="1:8" x14ac:dyDescent="0.35">
      <c r="A101" s="64" t="s">
        <v>9</v>
      </c>
      <c r="B101" s="65" t="s">
        <v>50</v>
      </c>
      <c r="C101" s="65" t="s">
        <v>376</v>
      </c>
      <c r="D101" s="66">
        <v>1</v>
      </c>
      <c r="E101" s="67">
        <v>43791</v>
      </c>
      <c r="F101" s="68">
        <v>0.61782407407407403</v>
      </c>
      <c r="G101" s="66"/>
      <c r="H101" s="6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17B6-647B-4D7E-8476-33A35980EBBA}">
  <dimension ref="A1:T637"/>
  <sheetViews>
    <sheetView tabSelected="1" zoomScale="90" zoomScaleNormal="90" workbookViewId="0">
      <selection activeCell="H3" sqref="H3"/>
    </sheetView>
  </sheetViews>
  <sheetFormatPr defaultRowHeight="14.5" x14ac:dyDescent="0.35"/>
  <cols>
    <col min="1" max="1" width="16.90625" customWidth="1"/>
    <col min="2" max="2" width="13.08984375" customWidth="1"/>
    <col min="3" max="3" width="12" customWidth="1"/>
    <col min="4" max="5" width="12.7265625" customWidth="1"/>
    <col min="6" max="6" width="10.1796875" style="11" customWidth="1"/>
    <col min="7" max="10" width="10.1796875" customWidth="1"/>
    <col min="11" max="11" width="10.6328125" style="11" customWidth="1"/>
    <col min="12" max="12" width="10.6328125" customWidth="1"/>
    <col min="13" max="13" width="10.81640625" style="11" bestFit="1" customWidth="1"/>
    <col min="14" max="14" width="20.26953125" style="16" bestFit="1" customWidth="1"/>
    <col min="15" max="15" width="26.36328125" customWidth="1"/>
    <col min="16" max="16" width="17.08984375" customWidth="1"/>
    <col min="17" max="17" width="14.54296875" customWidth="1"/>
    <col min="18" max="18" width="34.54296875" customWidth="1"/>
    <col min="19" max="19" width="38.453125" bestFit="1" customWidth="1"/>
    <col min="20" max="20" width="18.36328125" bestFit="1" customWidth="1"/>
  </cols>
  <sheetData>
    <row r="1" spans="1:20" s="12" customFormat="1" x14ac:dyDescent="0.35">
      <c r="A1" s="12" t="s">
        <v>5</v>
      </c>
      <c r="B1" s="12" t="s">
        <v>0</v>
      </c>
      <c r="C1" s="12" t="s">
        <v>309</v>
      </c>
      <c r="D1" s="12" t="s">
        <v>352</v>
      </c>
      <c r="E1" s="12" t="s">
        <v>353</v>
      </c>
      <c r="F1" s="13" t="s">
        <v>2</v>
      </c>
      <c r="G1" s="12" t="s">
        <v>362</v>
      </c>
      <c r="H1" s="12" t="s">
        <v>321</v>
      </c>
      <c r="I1" s="12" t="s">
        <v>322</v>
      </c>
      <c r="J1" s="12" t="s">
        <v>332</v>
      </c>
      <c r="K1" s="13" t="s">
        <v>1</v>
      </c>
      <c r="L1" s="12" t="s">
        <v>354</v>
      </c>
      <c r="M1" s="13" t="s">
        <v>276</v>
      </c>
      <c r="N1" s="15" t="s">
        <v>334</v>
      </c>
      <c r="O1" s="12" t="s">
        <v>310</v>
      </c>
      <c r="P1" s="12" t="s">
        <v>318</v>
      </c>
      <c r="Q1" s="12" t="s">
        <v>311</v>
      </c>
      <c r="R1" s="12" t="s">
        <v>333</v>
      </c>
      <c r="S1" s="12" t="s">
        <v>323</v>
      </c>
      <c r="T1" s="12" t="s">
        <v>360</v>
      </c>
    </row>
    <row r="2" spans="1:20" x14ac:dyDescent="0.35">
      <c r="A2" t="s">
        <v>9</v>
      </c>
      <c r="B2" t="s">
        <v>38</v>
      </c>
      <c r="C2" t="s">
        <v>127</v>
      </c>
      <c r="D2" t="str">
        <f>_xlfn.XLOOKUP(Table2[[#This Row],[Female_ID ]],'19-20_female_cohort'!I:I,'19-20_female_cohort'!H:H, "No Match")</f>
        <v>2018/2019</v>
      </c>
      <c r="E2">
        <v>1</v>
      </c>
      <c r="F2" s="11">
        <v>43779</v>
      </c>
      <c r="G2">
        <f>_xlfn.XLOOKUP(Table2[[#This Row],[First_egg_lay_date]],'19-20_niwa_temp_data'!B:B,'19-20_niwa_temp_data'!G:G, "No Match")</f>
        <v>17.618172436436193</v>
      </c>
      <c r="H2">
        <v>4</v>
      </c>
      <c r="I2" s="11">
        <v>43782</v>
      </c>
      <c r="J2">
        <f>_xlfn.XLOOKUP(Table2[[#This Row],[Nest_box_ID]],Sheet1!A:A,Sheet1!L:L, "No Match")</f>
        <v>0</v>
      </c>
      <c r="K2" s="11">
        <v>43798</v>
      </c>
      <c r="L2">
        <f>_xlfn.XLOOKUP(Table2[[#This Row],[Nest_box_ID]],Sheet1!A:A,Sheet1!K:K, "No Match")</f>
        <v>16</v>
      </c>
      <c r="M2" s="11">
        <v>43796</v>
      </c>
      <c r="N2" s="16">
        <v>0.37913194444444442</v>
      </c>
      <c r="O2">
        <v>14</v>
      </c>
      <c r="P2">
        <v>81.016666670000006</v>
      </c>
      <c r="Q2" t="s">
        <v>319</v>
      </c>
      <c r="R2">
        <v>522</v>
      </c>
      <c r="S2">
        <f>_xlfn.XLOOKUP(Table2[[#This Row],[Obs_date]],'19-20_niwa_temp_data'!B:B,'19-20_niwa_temp_data'!G:G, "N/A")</f>
        <v>17.287857010051884</v>
      </c>
      <c r="T2">
        <f>_xlfn.XLOOKUP(Table2[[#This Row],[First_egg_lay_date]],'19-20_niwa_temp_data'!B:B,'19-20_niwa_temp_data'!G:G, "No Match")</f>
        <v>17.618172436436193</v>
      </c>
    </row>
    <row r="3" spans="1:20" x14ac:dyDescent="0.35">
      <c r="A3" t="s">
        <v>9</v>
      </c>
      <c r="B3" t="s">
        <v>38</v>
      </c>
      <c r="C3" t="s">
        <v>127</v>
      </c>
      <c r="D3" t="str">
        <f>_xlfn.XLOOKUP(Table2[[#This Row],[Female_ID ]],'19-20_female_cohort'!I:I,'19-20_female_cohort'!H:H, "No Match")</f>
        <v>2018/2019</v>
      </c>
      <c r="E3">
        <v>1</v>
      </c>
      <c r="F3" s="11">
        <v>43779</v>
      </c>
      <c r="G3">
        <f>_xlfn.XLOOKUP(Table2[[#This Row],[First_egg_lay_date]],'19-20_niwa_temp_data'!B:B,'19-20_niwa_temp_data'!G:G, "No Match")</f>
        <v>17.618172436436193</v>
      </c>
      <c r="H3">
        <v>4</v>
      </c>
      <c r="I3" s="11">
        <v>43782</v>
      </c>
      <c r="J3">
        <f>_xlfn.XLOOKUP(Table2[[#This Row],[Nest_box_ID]],Sheet1!A:A,Sheet1!L:L, "No Match")</f>
        <v>0</v>
      </c>
      <c r="K3" s="11">
        <v>43798</v>
      </c>
      <c r="L3">
        <f>_xlfn.XLOOKUP(Table2[[#This Row],[Nest_box_ID]],Sheet1!A:A,Sheet1!K:K, "No Match")</f>
        <v>16</v>
      </c>
      <c r="M3" s="11">
        <v>43796</v>
      </c>
      <c r="N3" s="16">
        <v>0.38517361111111109</v>
      </c>
      <c r="O3">
        <v>14</v>
      </c>
      <c r="P3">
        <v>81.016666670000006</v>
      </c>
      <c r="Q3" t="s">
        <v>319</v>
      </c>
      <c r="R3">
        <v>512</v>
      </c>
      <c r="S3">
        <f>_xlfn.XLOOKUP(Table2[[#This Row],[Obs_date]],'19-20_niwa_temp_data'!B:B,'19-20_niwa_temp_data'!G:G, "N/A")</f>
        <v>17.287857010051884</v>
      </c>
      <c r="T3">
        <f>_xlfn.XLOOKUP(Table2[[#This Row],[First_egg_lay_date]],'19-20_niwa_temp_data'!B:B,'19-20_niwa_temp_data'!G:G, "No Match")</f>
        <v>17.618172436436193</v>
      </c>
    </row>
    <row r="4" spans="1:20" hidden="1" x14ac:dyDescent="0.35">
      <c r="A4" t="s">
        <v>9</v>
      </c>
      <c r="B4" t="s">
        <v>38</v>
      </c>
      <c r="C4" t="s">
        <v>127</v>
      </c>
      <c r="D4" t="str">
        <f>_xlfn.XLOOKUP(Table2[[#This Row],[Female_ID ]],'19-20_female_cohort'!I:I,'19-20_female_cohort'!H:H, "No Match")</f>
        <v>2018/2019</v>
      </c>
      <c r="E4">
        <v>1</v>
      </c>
      <c r="F4" s="11">
        <v>43779</v>
      </c>
      <c r="G4">
        <f>_xlfn.XLOOKUP(Table2[[#This Row],[First_egg_lay_date]],'19-20_niwa_temp_data'!B:B,'19-20_niwa_temp_data'!G:G, "No Match")</f>
        <v>17.618172436436193</v>
      </c>
      <c r="H4">
        <v>4</v>
      </c>
      <c r="I4" s="11">
        <v>43782</v>
      </c>
      <c r="J4">
        <f>_xlfn.XLOOKUP(Table2[[#This Row],[Nest_box_ID]],Sheet1!A:A,Sheet1!L:L, "No Match")</f>
        <v>0</v>
      </c>
      <c r="K4" s="11">
        <v>43798</v>
      </c>
      <c r="L4">
        <f>_xlfn.XLOOKUP(Table2[[#This Row],[Nest_box_ID]],Sheet1!A:A,Sheet1!K:K, "No Match")</f>
        <v>16</v>
      </c>
      <c r="M4" s="11">
        <v>43796</v>
      </c>
      <c r="N4" s="16">
        <v>0.39109953703703704</v>
      </c>
      <c r="O4">
        <v>14</v>
      </c>
      <c r="P4">
        <v>81.016666670000006</v>
      </c>
      <c r="Q4" t="s">
        <v>320</v>
      </c>
      <c r="R4">
        <v>282</v>
      </c>
      <c r="S4">
        <f>_xlfn.XLOOKUP(Table2[[#This Row],[Obs_date]],'19-20_niwa_temp_data'!B:B,'19-20_niwa_temp_data'!G:G, "N/A")</f>
        <v>17.287857010051884</v>
      </c>
      <c r="T4">
        <f>_xlfn.XLOOKUP(Table2[[#This Row],[First_egg_lay_date]],'19-20_niwa_temp_data'!B:B,'19-20_niwa_temp_data'!G:G, "No Match")</f>
        <v>17.618172436436193</v>
      </c>
    </row>
    <row r="5" spans="1:20" x14ac:dyDescent="0.35">
      <c r="A5" t="s">
        <v>9</v>
      </c>
      <c r="B5" t="s">
        <v>38</v>
      </c>
      <c r="C5" t="s">
        <v>127</v>
      </c>
      <c r="D5" t="str">
        <f>_xlfn.XLOOKUP(Table2[[#This Row],[Female_ID ]],'19-20_female_cohort'!I:I,'19-20_female_cohort'!H:H, "No Match")</f>
        <v>2018/2019</v>
      </c>
      <c r="E5">
        <v>1</v>
      </c>
      <c r="F5" s="11">
        <v>43779</v>
      </c>
      <c r="G5">
        <f>_xlfn.XLOOKUP(Table2[[#This Row],[First_egg_lay_date]],'19-20_niwa_temp_data'!B:B,'19-20_niwa_temp_data'!G:G, "No Match")</f>
        <v>17.618172436436193</v>
      </c>
      <c r="H5">
        <v>4</v>
      </c>
      <c r="I5" s="11">
        <v>43782</v>
      </c>
      <c r="J5">
        <f>_xlfn.XLOOKUP(Table2[[#This Row],[Nest_box_ID]],Sheet1!A:A,Sheet1!L:L, "No Match")</f>
        <v>0</v>
      </c>
      <c r="K5" s="11">
        <v>43798</v>
      </c>
      <c r="L5">
        <f>_xlfn.XLOOKUP(Table2[[#This Row],[Nest_box_ID]],Sheet1!A:A,Sheet1!K:K, "No Match")</f>
        <v>16</v>
      </c>
      <c r="M5" s="11">
        <v>43796</v>
      </c>
      <c r="N5" s="16">
        <v>0.39436342592592594</v>
      </c>
      <c r="O5">
        <v>14</v>
      </c>
      <c r="P5">
        <v>81.016666670000006</v>
      </c>
      <c r="Q5" t="s">
        <v>319</v>
      </c>
      <c r="R5">
        <v>248</v>
      </c>
      <c r="S5">
        <f>_xlfn.XLOOKUP(Table2[[#This Row],[Obs_date]],'19-20_niwa_temp_data'!B:B,'19-20_niwa_temp_data'!G:G, "N/A")</f>
        <v>17.287857010051884</v>
      </c>
      <c r="T5">
        <f>_xlfn.XLOOKUP(Table2[[#This Row],[First_egg_lay_date]],'19-20_niwa_temp_data'!B:B,'19-20_niwa_temp_data'!G:G, "No Match")</f>
        <v>17.618172436436193</v>
      </c>
    </row>
    <row r="6" spans="1:20" hidden="1" x14ac:dyDescent="0.35">
      <c r="A6" t="s">
        <v>9</v>
      </c>
      <c r="B6" t="s">
        <v>38</v>
      </c>
      <c r="C6" t="s">
        <v>127</v>
      </c>
      <c r="D6" t="str">
        <f>_xlfn.XLOOKUP(Table2[[#This Row],[Female_ID ]],'19-20_female_cohort'!I:I,'19-20_female_cohort'!H:H, "No Match")</f>
        <v>2018/2019</v>
      </c>
      <c r="E6">
        <v>1</v>
      </c>
      <c r="F6" s="11">
        <v>43779</v>
      </c>
      <c r="G6">
        <f>_xlfn.XLOOKUP(Table2[[#This Row],[First_egg_lay_date]],'19-20_niwa_temp_data'!B:B,'19-20_niwa_temp_data'!G:G, "No Match")</f>
        <v>17.618172436436193</v>
      </c>
      <c r="H6">
        <v>4</v>
      </c>
      <c r="I6" s="11">
        <v>43782</v>
      </c>
      <c r="J6">
        <f>_xlfn.XLOOKUP(Table2[[#This Row],[Nest_box_ID]],Sheet1!A:A,Sheet1!L:L, "No Match")</f>
        <v>0</v>
      </c>
      <c r="K6" s="11">
        <v>43798</v>
      </c>
      <c r="L6">
        <f>_xlfn.XLOOKUP(Table2[[#This Row],[Nest_box_ID]],Sheet1!A:A,Sheet1!K:K, "No Match")</f>
        <v>16</v>
      </c>
      <c r="M6" s="11">
        <v>43796</v>
      </c>
      <c r="N6" s="16">
        <v>0.39723379629629629</v>
      </c>
      <c r="O6">
        <v>14</v>
      </c>
      <c r="P6">
        <v>81.016666670000006</v>
      </c>
      <c r="Q6" t="s">
        <v>320</v>
      </c>
      <c r="R6">
        <v>271</v>
      </c>
      <c r="S6">
        <f>_xlfn.XLOOKUP(Table2[[#This Row],[Obs_date]],'19-20_niwa_temp_data'!B:B,'19-20_niwa_temp_data'!G:G, "N/A")</f>
        <v>17.287857010051884</v>
      </c>
      <c r="T6">
        <f>_xlfn.XLOOKUP(Table2[[#This Row],[First_egg_lay_date]],'19-20_niwa_temp_data'!B:B,'19-20_niwa_temp_data'!G:G, "No Match")</f>
        <v>17.618172436436193</v>
      </c>
    </row>
    <row r="7" spans="1:20" x14ac:dyDescent="0.35">
      <c r="A7" t="s">
        <v>9</v>
      </c>
      <c r="B7" t="s">
        <v>38</v>
      </c>
      <c r="C7" t="s">
        <v>127</v>
      </c>
      <c r="D7" t="str">
        <f>_xlfn.XLOOKUP(Table2[[#This Row],[Female_ID ]],'19-20_female_cohort'!I:I,'19-20_female_cohort'!H:H, "No Match")</f>
        <v>2018/2019</v>
      </c>
      <c r="E7">
        <v>1</v>
      </c>
      <c r="F7" s="11">
        <v>43779</v>
      </c>
      <c r="G7">
        <f>_xlfn.XLOOKUP(Table2[[#This Row],[First_egg_lay_date]],'19-20_niwa_temp_data'!B:B,'19-20_niwa_temp_data'!G:G, "No Match")</f>
        <v>17.618172436436193</v>
      </c>
      <c r="H7">
        <v>4</v>
      </c>
      <c r="I7" s="11">
        <v>43782</v>
      </c>
      <c r="J7">
        <f>_xlfn.XLOOKUP(Table2[[#This Row],[Nest_box_ID]],Sheet1!A:A,Sheet1!L:L, "No Match")</f>
        <v>0</v>
      </c>
      <c r="K7" s="11">
        <v>43798</v>
      </c>
      <c r="L7">
        <f>_xlfn.XLOOKUP(Table2[[#This Row],[Nest_box_ID]],Sheet1!A:A,Sheet1!K:K, "No Match")</f>
        <v>16</v>
      </c>
      <c r="M7" s="11">
        <v>43796</v>
      </c>
      <c r="N7" s="16">
        <v>0.40037037037037038</v>
      </c>
      <c r="O7">
        <v>14</v>
      </c>
      <c r="P7">
        <v>81.016666670000006</v>
      </c>
      <c r="Q7" t="s">
        <v>319</v>
      </c>
      <c r="R7">
        <v>221</v>
      </c>
      <c r="S7">
        <f>_xlfn.XLOOKUP(Table2[[#This Row],[Obs_date]],'19-20_niwa_temp_data'!B:B,'19-20_niwa_temp_data'!G:G, "N/A")</f>
        <v>17.287857010051884</v>
      </c>
      <c r="T7">
        <f>_xlfn.XLOOKUP(Table2[[#This Row],[First_egg_lay_date]],'19-20_niwa_temp_data'!B:B,'19-20_niwa_temp_data'!G:G, "No Match")</f>
        <v>17.618172436436193</v>
      </c>
    </row>
    <row r="8" spans="1:20" hidden="1" x14ac:dyDescent="0.35">
      <c r="A8" t="s">
        <v>9</v>
      </c>
      <c r="B8" t="s">
        <v>38</v>
      </c>
      <c r="C8" t="s">
        <v>127</v>
      </c>
      <c r="D8" t="str">
        <f>_xlfn.XLOOKUP(Table2[[#This Row],[Female_ID ]],'19-20_female_cohort'!I:I,'19-20_female_cohort'!H:H, "No Match")</f>
        <v>2018/2019</v>
      </c>
      <c r="E8">
        <v>1</v>
      </c>
      <c r="F8" s="11">
        <v>43779</v>
      </c>
      <c r="G8">
        <f>_xlfn.XLOOKUP(Table2[[#This Row],[First_egg_lay_date]],'19-20_niwa_temp_data'!B:B,'19-20_niwa_temp_data'!G:G, "No Match")</f>
        <v>17.618172436436193</v>
      </c>
      <c r="H8">
        <v>4</v>
      </c>
      <c r="I8" s="11">
        <v>43782</v>
      </c>
      <c r="J8">
        <f>_xlfn.XLOOKUP(Table2[[#This Row],[Nest_box_ID]],Sheet1!A:A,Sheet1!L:L, "No Match")</f>
        <v>0</v>
      </c>
      <c r="K8" s="11">
        <v>43798</v>
      </c>
      <c r="L8">
        <f>_xlfn.XLOOKUP(Table2[[#This Row],[Nest_box_ID]],Sheet1!A:A,Sheet1!K:K, "No Match")</f>
        <v>16</v>
      </c>
      <c r="M8" s="11">
        <v>43796</v>
      </c>
      <c r="N8" s="16">
        <v>0.40292824074074074</v>
      </c>
      <c r="O8">
        <v>14</v>
      </c>
      <c r="P8">
        <v>81.016666670000006</v>
      </c>
      <c r="Q8" t="s">
        <v>320</v>
      </c>
      <c r="R8">
        <v>180</v>
      </c>
      <c r="S8">
        <f>_xlfn.XLOOKUP(Table2[[#This Row],[Obs_date]],'19-20_niwa_temp_data'!B:B,'19-20_niwa_temp_data'!G:G, "N/A")</f>
        <v>17.287857010051884</v>
      </c>
      <c r="T8">
        <f>_xlfn.XLOOKUP(Table2[[#This Row],[First_egg_lay_date]],'19-20_niwa_temp_data'!B:B,'19-20_niwa_temp_data'!G:G, "No Match")</f>
        <v>17.618172436436193</v>
      </c>
    </row>
    <row r="9" spans="1:20" x14ac:dyDescent="0.35">
      <c r="A9" t="s">
        <v>9</v>
      </c>
      <c r="B9" t="s">
        <v>38</v>
      </c>
      <c r="C9" t="s">
        <v>127</v>
      </c>
      <c r="D9" t="str">
        <f>_xlfn.XLOOKUP(Table2[[#This Row],[Female_ID ]],'19-20_female_cohort'!I:I,'19-20_female_cohort'!H:H, "No Match")</f>
        <v>2018/2019</v>
      </c>
      <c r="E9">
        <v>1</v>
      </c>
      <c r="F9" s="11">
        <v>43779</v>
      </c>
      <c r="G9">
        <f>_xlfn.XLOOKUP(Table2[[#This Row],[First_egg_lay_date]],'19-20_niwa_temp_data'!B:B,'19-20_niwa_temp_data'!G:G, "No Match")</f>
        <v>17.618172436436193</v>
      </c>
      <c r="H9">
        <v>4</v>
      </c>
      <c r="I9" s="11">
        <v>43782</v>
      </c>
      <c r="J9">
        <f>_xlfn.XLOOKUP(Table2[[#This Row],[Nest_box_ID]],Sheet1!A:A,Sheet1!L:L, "No Match")</f>
        <v>0</v>
      </c>
      <c r="K9" s="11">
        <v>43798</v>
      </c>
      <c r="L9">
        <f>_xlfn.XLOOKUP(Table2[[#This Row],[Nest_box_ID]],Sheet1!A:A,Sheet1!K:K, "No Match")</f>
        <v>16</v>
      </c>
      <c r="M9" s="11">
        <v>43796</v>
      </c>
      <c r="N9" s="16">
        <v>0.40501157407407407</v>
      </c>
      <c r="O9">
        <v>14</v>
      </c>
      <c r="P9">
        <v>81.016666670000006</v>
      </c>
      <c r="Q9" t="s">
        <v>319</v>
      </c>
      <c r="R9">
        <v>367</v>
      </c>
      <c r="S9">
        <f>_xlfn.XLOOKUP(Table2[[#This Row],[Obs_date]],'19-20_niwa_temp_data'!B:B,'19-20_niwa_temp_data'!G:G, "N/A")</f>
        <v>17.287857010051884</v>
      </c>
      <c r="T9">
        <f>_xlfn.XLOOKUP(Table2[[#This Row],[First_egg_lay_date]],'19-20_niwa_temp_data'!B:B,'19-20_niwa_temp_data'!G:G, "No Match")</f>
        <v>17.618172436436193</v>
      </c>
    </row>
    <row r="10" spans="1:20" hidden="1" x14ac:dyDescent="0.35">
      <c r="A10" t="s">
        <v>9</v>
      </c>
      <c r="B10" t="s">
        <v>38</v>
      </c>
      <c r="C10" t="s">
        <v>127</v>
      </c>
      <c r="D10" t="str">
        <f>_xlfn.XLOOKUP(Table2[[#This Row],[Female_ID ]],'19-20_female_cohort'!I:I,'19-20_female_cohort'!H:H, "No Match")</f>
        <v>2018/2019</v>
      </c>
      <c r="E10">
        <v>1</v>
      </c>
      <c r="F10" s="11">
        <v>43779</v>
      </c>
      <c r="G10">
        <f>_xlfn.XLOOKUP(Table2[[#This Row],[First_egg_lay_date]],'19-20_niwa_temp_data'!B:B,'19-20_niwa_temp_data'!G:G, "No Match")</f>
        <v>17.618172436436193</v>
      </c>
      <c r="H10">
        <v>4</v>
      </c>
      <c r="I10" s="11">
        <v>43782</v>
      </c>
      <c r="J10">
        <f>_xlfn.XLOOKUP(Table2[[#This Row],[Nest_box_ID]],Sheet1!A:A,Sheet1!L:L, "No Match")</f>
        <v>0</v>
      </c>
      <c r="K10" s="11">
        <v>43798</v>
      </c>
      <c r="L10">
        <f>_xlfn.XLOOKUP(Table2[[#This Row],[Nest_box_ID]],Sheet1!A:A,Sheet1!K:K, "No Match")</f>
        <v>16</v>
      </c>
      <c r="M10" s="11">
        <v>43796</v>
      </c>
      <c r="N10" s="16">
        <v>0.40925925925925927</v>
      </c>
      <c r="O10">
        <v>14</v>
      </c>
      <c r="P10">
        <v>81.016666670000006</v>
      </c>
      <c r="Q10" t="s">
        <v>320</v>
      </c>
      <c r="R10">
        <v>237</v>
      </c>
      <c r="S10">
        <f>_xlfn.XLOOKUP(Table2[[#This Row],[Obs_date]],'19-20_niwa_temp_data'!B:B,'19-20_niwa_temp_data'!G:G, "N/A")</f>
        <v>17.287857010051884</v>
      </c>
      <c r="T10">
        <f>_xlfn.XLOOKUP(Table2[[#This Row],[First_egg_lay_date]],'19-20_niwa_temp_data'!B:B,'19-20_niwa_temp_data'!G:G, "No Match")</f>
        <v>17.618172436436193</v>
      </c>
    </row>
    <row r="11" spans="1:20" x14ac:dyDescent="0.35">
      <c r="A11" t="s">
        <v>9</v>
      </c>
      <c r="B11" t="s">
        <v>38</v>
      </c>
      <c r="C11" t="s">
        <v>127</v>
      </c>
      <c r="D11" t="str">
        <f>_xlfn.XLOOKUP(Table2[[#This Row],[Female_ID ]],'19-20_female_cohort'!I:I,'19-20_female_cohort'!H:H, "No Match")</f>
        <v>2018/2019</v>
      </c>
      <c r="E11">
        <v>1</v>
      </c>
      <c r="F11" s="11">
        <v>43779</v>
      </c>
      <c r="G11">
        <f>_xlfn.XLOOKUP(Table2[[#This Row],[First_egg_lay_date]],'19-20_niwa_temp_data'!B:B,'19-20_niwa_temp_data'!G:G, "No Match")</f>
        <v>17.618172436436193</v>
      </c>
      <c r="H11">
        <v>4</v>
      </c>
      <c r="I11" s="11">
        <v>43782</v>
      </c>
      <c r="J11">
        <f>_xlfn.XLOOKUP(Table2[[#This Row],[Nest_box_ID]],Sheet1!A:A,Sheet1!L:L, "No Match")</f>
        <v>0</v>
      </c>
      <c r="K11" s="11">
        <v>43798</v>
      </c>
      <c r="L11">
        <f>_xlfn.XLOOKUP(Table2[[#This Row],[Nest_box_ID]],Sheet1!A:A,Sheet1!K:K, "No Match")</f>
        <v>16</v>
      </c>
      <c r="M11" s="11">
        <v>43796</v>
      </c>
      <c r="N11" s="16">
        <v>0.41200231481481481</v>
      </c>
      <c r="O11">
        <v>14</v>
      </c>
      <c r="P11">
        <v>81.016666670000006</v>
      </c>
      <c r="Q11" t="s">
        <v>319</v>
      </c>
      <c r="R11">
        <v>284</v>
      </c>
      <c r="S11">
        <f>_xlfn.XLOOKUP(Table2[[#This Row],[Obs_date]],'19-20_niwa_temp_data'!B:B,'19-20_niwa_temp_data'!G:G, "N/A")</f>
        <v>17.287857010051884</v>
      </c>
      <c r="T11">
        <f>_xlfn.XLOOKUP(Table2[[#This Row],[First_egg_lay_date]],'19-20_niwa_temp_data'!B:B,'19-20_niwa_temp_data'!G:G, "No Match")</f>
        <v>17.618172436436193</v>
      </c>
    </row>
    <row r="12" spans="1:20" hidden="1" x14ac:dyDescent="0.35">
      <c r="A12" t="s">
        <v>9</v>
      </c>
      <c r="B12" t="s">
        <v>38</v>
      </c>
      <c r="C12" t="s">
        <v>127</v>
      </c>
      <c r="D12" t="str">
        <f>_xlfn.XLOOKUP(Table2[[#This Row],[Female_ID ]],'19-20_female_cohort'!I:I,'19-20_female_cohort'!H:H, "No Match")</f>
        <v>2018/2019</v>
      </c>
      <c r="E12">
        <v>1</v>
      </c>
      <c r="F12" s="11">
        <v>43779</v>
      </c>
      <c r="G12">
        <f>_xlfn.XLOOKUP(Table2[[#This Row],[First_egg_lay_date]],'19-20_niwa_temp_data'!B:B,'19-20_niwa_temp_data'!G:G, "No Match")</f>
        <v>17.618172436436193</v>
      </c>
      <c r="H12">
        <v>4</v>
      </c>
      <c r="I12" s="11">
        <v>43782</v>
      </c>
      <c r="J12">
        <f>_xlfn.XLOOKUP(Table2[[#This Row],[Nest_box_ID]],Sheet1!A:A,Sheet1!L:L, "No Match")</f>
        <v>0</v>
      </c>
      <c r="K12" s="11">
        <v>43798</v>
      </c>
      <c r="L12">
        <f>_xlfn.XLOOKUP(Table2[[#This Row],[Nest_box_ID]],Sheet1!A:A,Sheet1!K:K, "No Match")</f>
        <v>16</v>
      </c>
      <c r="M12" s="11">
        <v>43796</v>
      </c>
      <c r="N12" s="16">
        <v>0.41528935185185184</v>
      </c>
      <c r="O12">
        <v>14</v>
      </c>
      <c r="P12">
        <v>81.016666670000006</v>
      </c>
      <c r="Q12" t="s">
        <v>320</v>
      </c>
      <c r="R12">
        <v>267</v>
      </c>
      <c r="S12">
        <f>_xlfn.XLOOKUP(Table2[[#This Row],[Obs_date]],'19-20_niwa_temp_data'!B:B,'19-20_niwa_temp_data'!G:G, "N/A")</f>
        <v>17.287857010051884</v>
      </c>
      <c r="T12">
        <f>_xlfn.XLOOKUP(Table2[[#This Row],[First_egg_lay_date]],'19-20_niwa_temp_data'!B:B,'19-20_niwa_temp_data'!G:G, "No Match")</f>
        <v>17.618172436436193</v>
      </c>
    </row>
    <row r="13" spans="1:20" x14ac:dyDescent="0.35">
      <c r="A13" t="s">
        <v>9</v>
      </c>
      <c r="B13" t="s">
        <v>38</v>
      </c>
      <c r="C13" t="s">
        <v>127</v>
      </c>
      <c r="D13" t="str">
        <f>_xlfn.XLOOKUP(Table2[[#This Row],[Female_ID ]],'19-20_female_cohort'!I:I,'19-20_female_cohort'!H:H, "No Match")</f>
        <v>2018/2019</v>
      </c>
      <c r="E13">
        <v>1</v>
      </c>
      <c r="F13" s="11">
        <v>43779</v>
      </c>
      <c r="G13">
        <f>_xlfn.XLOOKUP(Table2[[#This Row],[First_egg_lay_date]],'19-20_niwa_temp_data'!B:B,'19-20_niwa_temp_data'!G:G, "No Match")</f>
        <v>17.618172436436193</v>
      </c>
      <c r="H13">
        <v>4</v>
      </c>
      <c r="I13" s="11">
        <v>43782</v>
      </c>
      <c r="J13">
        <f>_xlfn.XLOOKUP(Table2[[#This Row],[Nest_box_ID]],Sheet1!A:A,Sheet1!L:L, "No Match")</f>
        <v>0</v>
      </c>
      <c r="K13" s="11">
        <v>43798</v>
      </c>
      <c r="L13">
        <f>_xlfn.XLOOKUP(Table2[[#This Row],[Nest_box_ID]],Sheet1!A:A,Sheet1!K:K, "No Match")</f>
        <v>16</v>
      </c>
      <c r="M13" s="11">
        <v>43796</v>
      </c>
      <c r="N13" s="16">
        <v>0.41837962962962966</v>
      </c>
      <c r="O13">
        <v>14</v>
      </c>
      <c r="P13">
        <v>81.016666670000006</v>
      </c>
      <c r="Q13" t="s">
        <v>319</v>
      </c>
      <c r="R13">
        <v>208</v>
      </c>
      <c r="S13">
        <f>_xlfn.XLOOKUP(Table2[[#This Row],[Obs_date]],'19-20_niwa_temp_data'!B:B,'19-20_niwa_temp_data'!G:G, "N/A")</f>
        <v>17.287857010051884</v>
      </c>
      <c r="T13">
        <f>_xlfn.XLOOKUP(Table2[[#This Row],[First_egg_lay_date]],'19-20_niwa_temp_data'!B:B,'19-20_niwa_temp_data'!G:G, "No Match")</f>
        <v>17.618172436436193</v>
      </c>
    </row>
    <row r="14" spans="1:20" hidden="1" x14ac:dyDescent="0.35">
      <c r="A14" t="s">
        <v>9</v>
      </c>
      <c r="B14" t="s">
        <v>38</v>
      </c>
      <c r="C14" t="s">
        <v>127</v>
      </c>
      <c r="D14" t="str">
        <f>_xlfn.XLOOKUP(Table2[[#This Row],[Female_ID ]],'19-20_female_cohort'!I:I,'19-20_female_cohort'!H:H, "No Match")</f>
        <v>2018/2019</v>
      </c>
      <c r="E14">
        <v>1</v>
      </c>
      <c r="F14" s="11">
        <v>43779</v>
      </c>
      <c r="G14">
        <f>_xlfn.XLOOKUP(Table2[[#This Row],[First_egg_lay_date]],'19-20_niwa_temp_data'!B:B,'19-20_niwa_temp_data'!G:G, "No Match")</f>
        <v>17.618172436436193</v>
      </c>
      <c r="H14">
        <v>4</v>
      </c>
      <c r="I14" s="11">
        <v>43782</v>
      </c>
      <c r="J14">
        <f>_xlfn.XLOOKUP(Table2[[#This Row],[Nest_box_ID]],Sheet1!A:A,Sheet1!L:L, "No Match")</f>
        <v>0</v>
      </c>
      <c r="K14" s="11">
        <v>43798</v>
      </c>
      <c r="L14">
        <f>_xlfn.XLOOKUP(Table2[[#This Row],[Nest_box_ID]],Sheet1!A:A,Sheet1!K:K, "No Match")</f>
        <v>16</v>
      </c>
      <c r="M14" s="11">
        <v>43796</v>
      </c>
      <c r="N14" s="16">
        <v>0.42078703703703701</v>
      </c>
      <c r="O14">
        <v>14</v>
      </c>
      <c r="P14">
        <v>81.016666670000006</v>
      </c>
      <c r="Q14" t="s">
        <v>320</v>
      </c>
      <c r="R14">
        <v>260</v>
      </c>
      <c r="S14">
        <f>_xlfn.XLOOKUP(Table2[[#This Row],[Obs_date]],'19-20_niwa_temp_data'!B:B,'19-20_niwa_temp_data'!G:G, "N/A")</f>
        <v>17.287857010051884</v>
      </c>
      <c r="T14">
        <f>_xlfn.XLOOKUP(Table2[[#This Row],[First_egg_lay_date]],'19-20_niwa_temp_data'!B:B,'19-20_niwa_temp_data'!G:G, "No Match")</f>
        <v>17.618172436436193</v>
      </c>
    </row>
    <row r="15" spans="1:20" x14ac:dyDescent="0.35">
      <c r="A15" t="s">
        <v>9</v>
      </c>
      <c r="B15" t="s">
        <v>38</v>
      </c>
      <c r="C15" t="s">
        <v>127</v>
      </c>
      <c r="D15" t="str">
        <f>_xlfn.XLOOKUP(Table2[[#This Row],[Female_ID ]],'19-20_female_cohort'!I:I,'19-20_female_cohort'!H:H, "No Match")</f>
        <v>2018/2019</v>
      </c>
      <c r="E15">
        <v>1</v>
      </c>
      <c r="F15" s="11">
        <v>43779</v>
      </c>
      <c r="G15">
        <f>_xlfn.XLOOKUP(Table2[[#This Row],[First_egg_lay_date]],'19-20_niwa_temp_data'!B:B,'19-20_niwa_temp_data'!G:G, "No Match")</f>
        <v>17.618172436436193</v>
      </c>
      <c r="H15">
        <v>4</v>
      </c>
      <c r="I15" s="11">
        <v>43782</v>
      </c>
      <c r="J15">
        <f>_xlfn.XLOOKUP(Table2[[#This Row],[Nest_box_ID]],Sheet1!A:A,Sheet1!L:L, "No Match")</f>
        <v>0</v>
      </c>
      <c r="K15" s="11">
        <v>43798</v>
      </c>
      <c r="L15">
        <f>_xlfn.XLOOKUP(Table2[[#This Row],[Nest_box_ID]],Sheet1!A:A,Sheet1!K:K, "No Match")</f>
        <v>16</v>
      </c>
      <c r="M15" s="11">
        <v>43796</v>
      </c>
      <c r="N15" s="16">
        <v>0.42379629629629628</v>
      </c>
      <c r="O15">
        <v>14</v>
      </c>
      <c r="P15">
        <v>81.016666670000006</v>
      </c>
      <c r="Q15" t="s">
        <v>319</v>
      </c>
      <c r="R15">
        <v>301</v>
      </c>
      <c r="S15">
        <f>_xlfn.XLOOKUP(Table2[[#This Row],[Obs_date]],'19-20_niwa_temp_data'!B:B,'19-20_niwa_temp_data'!G:G, "N/A")</f>
        <v>17.287857010051884</v>
      </c>
      <c r="T15">
        <f>_xlfn.XLOOKUP(Table2[[#This Row],[First_egg_lay_date]],'19-20_niwa_temp_data'!B:B,'19-20_niwa_temp_data'!G:G, "No Match")</f>
        <v>17.618172436436193</v>
      </c>
    </row>
    <row r="16" spans="1:20" hidden="1" x14ac:dyDescent="0.35">
      <c r="A16" t="s">
        <v>9</v>
      </c>
      <c r="B16" t="s">
        <v>38</v>
      </c>
      <c r="C16" t="s">
        <v>127</v>
      </c>
      <c r="D16" t="str">
        <f>_xlfn.XLOOKUP(Table2[[#This Row],[Female_ID ]],'19-20_female_cohort'!I:I,'19-20_female_cohort'!H:H, "No Match")</f>
        <v>2018/2019</v>
      </c>
      <c r="E16">
        <v>1</v>
      </c>
      <c r="F16" s="11">
        <v>43779</v>
      </c>
      <c r="G16">
        <f>_xlfn.XLOOKUP(Table2[[#This Row],[First_egg_lay_date]],'19-20_niwa_temp_data'!B:B,'19-20_niwa_temp_data'!G:G, "No Match")</f>
        <v>17.618172436436193</v>
      </c>
      <c r="H16">
        <v>4</v>
      </c>
      <c r="I16" s="11">
        <v>43782</v>
      </c>
      <c r="J16">
        <f>_xlfn.XLOOKUP(Table2[[#This Row],[Nest_box_ID]],Sheet1!A:A,Sheet1!L:L, "No Match")</f>
        <v>0</v>
      </c>
      <c r="K16" s="11">
        <v>43798</v>
      </c>
      <c r="L16">
        <f>_xlfn.XLOOKUP(Table2[[#This Row],[Nest_box_ID]],Sheet1!A:A,Sheet1!K:K, "No Match")</f>
        <v>16</v>
      </c>
      <c r="M16" s="11">
        <v>43796</v>
      </c>
      <c r="N16" s="16">
        <v>0.42728009259259259</v>
      </c>
      <c r="O16">
        <v>14</v>
      </c>
      <c r="P16">
        <v>81.016666670000006</v>
      </c>
      <c r="Q16" t="s">
        <v>320</v>
      </c>
      <c r="R16">
        <v>44</v>
      </c>
      <c r="S16">
        <f>_xlfn.XLOOKUP(Table2[[#This Row],[Obs_date]],'19-20_niwa_temp_data'!B:B,'19-20_niwa_temp_data'!G:G, "N/A")</f>
        <v>17.287857010051884</v>
      </c>
      <c r="T16">
        <f>_xlfn.XLOOKUP(Table2[[#This Row],[First_egg_lay_date]],'19-20_niwa_temp_data'!B:B,'19-20_niwa_temp_data'!G:G, "No Match")</f>
        <v>17.618172436436193</v>
      </c>
    </row>
    <row r="17" spans="1:20" x14ac:dyDescent="0.35">
      <c r="A17" t="s">
        <v>9</v>
      </c>
      <c r="B17" t="s">
        <v>38</v>
      </c>
      <c r="C17" t="s">
        <v>127</v>
      </c>
      <c r="D17" t="str">
        <f>_xlfn.XLOOKUP(Table2[[#This Row],[Female_ID ]],'19-20_female_cohort'!I:I,'19-20_female_cohort'!H:H, "No Match")</f>
        <v>2018/2019</v>
      </c>
      <c r="E17">
        <v>1</v>
      </c>
      <c r="F17" s="11">
        <v>43779</v>
      </c>
      <c r="G17">
        <f>_xlfn.XLOOKUP(Table2[[#This Row],[First_egg_lay_date]],'19-20_niwa_temp_data'!B:B,'19-20_niwa_temp_data'!G:G, "No Match")</f>
        <v>17.618172436436193</v>
      </c>
      <c r="H17">
        <v>4</v>
      </c>
      <c r="I17" s="11">
        <v>43782</v>
      </c>
      <c r="J17">
        <f>_xlfn.XLOOKUP(Table2[[#This Row],[Nest_box_ID]],Sheet1!A:A,Sheet1!L:L, "No Match")</f>
        <v>0</v>
      </c>
      <c r="K17" s="11">
        <v>43798</v>
      </c>
      <c r="L17">
        <f>_xlfn.XLOOKUP(Table2[[#This Row],[Nest_box_ID]],Sheet1!A:A,Sheet1!K:K, "No Match")</f>
        <v>16</v>
      </c>
      <c r="M17" s="11">
        <v>43796</v>
      </c>
      <c r="N17" s="16">
        <v>0.42778935185185185</v>
      </c>
      <c r="O17">
        <v>14</v>
      </c>
      <c r="P17">
        <v>81.016666670000006</v>
      </c>
      <c r="Q17" t="s">
        <v>319</v>
      </c>
      <c r="R17">
        <v>36</v>
      </c>
      <c r="S17">
        <f>_xlfn.XLOOKUP(Table2[[#This Row],[Obs_date]],'19-20_niwa_temp_data'!B:B,'19-20_niwa_temp_data'!G:G, "N/A")</f>
        <v>17.287857010051884</v>
      </c>
      <c r="T17">
        <f>_xlfn.XLOOKUP(Table2[[#This Row],[First_egg_lay_date]],'19-20_niwa_temp_data'!B:B,'19-20_niwa_temp_data'!G:G, "No Match")</f>
        <v>17.618172436436193</v>
      </c>
    </row>
    <row r="18" spans="1:20" hidden="1" x14ac:dyDescent="0.35">
      <c r="A18" t="s">
        <v>9</v>
      </c>
      <c r="B18" t="s">
        <v>38</v>
      </c>
      <c r="C18" t="s">
        <v>127</v>
      </c>
      <c r="D18" t="str">
        <f>_xlfn.XLOOKUP(Table2[[#This Row],[Female_ID ]],'19-20_female_cohort'!I:I,'19-20_female_cohort'!H:H, "No Match")</f>
        <v>2018/2019</v>
      </c>
      <c r="E18">
        <v>1</v>
      </c>
      <c r="F18" s="11">
        <v>43779</v>
      </c>
      <c r="G18">
        <f>_xlfn.XLOOKUP(Table2[[#This Row],[First_egg_lay_date]],'19-20_niwa_temp_data'!B:B,'19-20_niwa_temp_data'!G:G, "No Match")</f>
        <v>17.618172436436193</v>
      </c>
      <c r="H18">
        <v>4</v>
      </c>
      <c r="I18" s="11">
        <v>43782</v>
      </c>
      <c r="J18">
        <f>_xlfn.XLOOKUP(Table2[[#This Row],[Nest_box_ID]],Sheet1!A:A,Sheet1!L:L, "No Match")</f>
        <v>0</v>
      </c>
      <c r="K18" s="11">
        <v>43798</v>
      </c>
      <c r="L18">
        <f>_xlfn.XLOOKUP(Table2[[#This Row],[Nest_box_ID]],Sheet1!A:A,Sheet1!K:K, "No Match")</f>
        <v>16</v>
      </c>
      <c r="M18" s="11">
        <v>43796</v>
      </c>
      <c r="N18" s="16">
        <v>0.42820601851851853</v>
      </c>
      <c r="O18">
        <v>14</v>
      </c>
      <c r="P18">
        <v>81.016666670000006</v>
      </c>
      <c r="Q18" t="s">
        <v>320</v>
      </c>
      <c r="R18">
        <v>234</v>
      </c>
      <c r="S18">
        <f>_xlfn.XLOOKUP(Table2[[#This Row],[Obs_date]],'19-20_niwa_temp_data'!B:B,'19-20_niwa_temp_data'!G:G, "N/A")</f>
        <v>17.287857010051884</v>
      </c>
      <c r="T18">
        <f>_xlfn.XLOOKUP(Table2[[#This Row],[First_egg_lay_date]],'19-20_niwa_temp_data'!B:B,'19-20_niwa_temp_data'!G:G, "No Match")</f>
        <v>17.618172436436193</v>
      </c>
    </row>
    <row r="19" spans="1:20" x14ac:dyDescent="0.35">
      <c r="A19" t="s">
        <v>9</v>
      </c>
      <c r="B19" t="s">
        <v>38</v>
      </c>
      <c r="C19" t="s">
        <v>127</v>
      </c>
      <c r="D19" t="str">
        <f>_xlfn.XLOOKUP(Table2[[#This Row],[Female_ID ]],'19-20_female_cohort'!I:I,'19-20_female_cohort'!H:H, "No Match")</f>
        <v>2018/2019</v>
      </c>
      <c r="E19">
        <v>1</v>
      </c>
      <c r="F19" s="11">
        <v>43779</v>
      </c>
      <c r="G19">
        <f>_xlfn.XLOOKUP(Table2[[#This Row],[First_egg_lay_date]],'19-20_niwa_temp_data'!B:B,'19-20_niwa_temp_data'!G:G, "No Match")</f>
        <v>17.618172436436193</v>
      </c>
      <c r="H19">
        <v>4</v>
      </c>
      <c r="I19" s="11">
        <v>43782</v>
      </c>
      <c r="J19">
        <f>_xlfn.XLOOKUP(Table2[[#This Row],[Nest_box_ID]],Sheet1!A:A,Sheet1!L:L, "No Match")</f>
        <v>0</v>
      </c>
      <c r="K19" s="11">
        <v>43798</v>
      </c>
      <c r="L19">
        <f>_xlfn.XLOOKUP(Table2[[#This Row],[Nest_box_ID]],Sheet1!A:A,Sheet1!K:K, "No Match")</f>
        <v>16</v>
      </c>
      <c r="M19" s="11">
        <v>43796</v>
      </c>
      <c r="N19" s="16">
        <v>0.43091435185185184</v>
      </c>
      <c r="O19">
        <v>14</v>
      </c>
      <c r="P19">
        <v>81.016666670000006</v>
      </c>
      <c r="Q19" t="s">
        <v>319</v>
      </c>
      <c r="R19">
        <v>387</v>
      </c>
      <c r="S19">
        <f>_xlfn.XLOOKUP(Table2[[#This Row],[Obs_date]],'19-20_niwa_temp_data'!B:B,'19-20_niwa_temp_data'!G:G, "N/A")</f>
        <v>17.287857010051884</v>
      </c>
      <c r="T19">
        <f>_xlfn.XLOOKUP(Table2[[#This Row],[First_egg_lay_date]],'19-20_niwa_temp_data'!B:B,'19-20_niwa_temp_data'!G:G, "No Match")</f>
        <v>17.618172436436193</v>
      </c>
    </row>
    <row r="20" spans="1:20" hidden="1" x14ac:dyDescent="0.35">
      <c r="A20" t="s">
        <v>9</v>
      </c>
      <c r="B20" t="s">
        <v>38</v>
      </c>
      <c r="C20" t="s">
        <v>127</v>
      </c>
      <c r="D20" t="str">
        <f>_xlfn.XLOOKUP(Table2[[#This Row],[Female_ID ]],'19-20_female_cohort'!I:I,'19-20_female_cohort'!H:H, "No Match")</f>
        <v>2018/2019</v>
      </c>
      <c r="E20">
        <v>1</v>
      </c>
      <c r="F20" s="11">
        <v>43779</v>
      </c>
      <c r="G20">
        <f>_xlfn.XLOOKUP(Table2[[#This Row],[First_egg_lay_date]],'19-20_niwa_temp_data'!B:B,'19-20_niwa_temp_data'!G:G, "No Match")</f>
        <v>17.618172436436193</v>
      </c>
      <c r="H20">
        <v>4</v>
      </c>
      <c r="I20" s="11">
        <v>43782</v>
      </c>
      <c r="J20">
        <f>_xlfn.XLOOKUP(Table2[[#This Row],[Nest_box_ID]],Sheet1!A:A,Sheet1!L:L, "No Match")</f>
        <v>0</v>
      </c>
      <c r="K20" s="11">
        <v>43798</v>
      </c>
      <c r="L20">
        <f>_xlfn.XLOOKUP(Table2[[#This Row],[Nest_box_ID]],Sheet1!A:A,Sheet1!K:K, "No Match")</f>
        <v>16</v>
      </c>
      <c r="M20" s="11">
        <v>43796</v>
      </c>
      <c r="N20" s="16">
        <v>0.43539351851851854</v>
      </c>
      <c r="O20">
        <v>14</v>
      </c>
      <c r="P20">
        <v>81.016666670000006</v>
      </c>
      <c r="Q20" t="s">
        <v>320</v>
      </c>
      <c r="R20" t="s">
        <v>254</v>
      </c>
      <c r="S20">
        <f>_xlfn.XLOOKUP(Table2[[#This Row],[Obs_date]],'19-20_niwa_temp_data'!B:B,'19-20_niwa_temp_data'!G:G, "N/A")</f>
        <v>17.287857010051884</v>
      </c>
      <c r="T20">
        <f>_xlfn.XLOOKUP(Table2[[#This Row],[First_egg_lay_date]],'19-20_niwa_temp_data'!B:B,'19-20_niwa_temp_data'!G:G, "No Match")</f>
        <v>17.618172436436193</v>
      </c>
    </row>
    <row r="21" spans="1:20" x14ac:dyDescent="0.35">
      <c r="A21" t="s">
        <v>9</v>
      </c>
      <c r="B21" t="s">
        <v>38</v>
      </c>
      <c r="C21" t="s">
        <v>127</v>
      </c>
      <c r="D21" t="str">
        <f>_xlfn.XLOOKUP(Table2[[#This Row],[Female_ID ]],'19-20_female_cohort'!I:I,'19-20_female_cohort'!H:H, "No Match")</f>
        <v>2018/2019</v>
      </c>
      <c r="E21">
        <v>1</v>
      </c>
      <c r="F21" s="11">
        <v>43779</v>
      </c>
      <c r="G21">
        <f>_xlfn.XLOOKUP(Table2[[#This Row],[First_egg_lay_date]],'19-20_niwa_temp_data'!B:B,'19-20_niwa_temp_data'!G:G, "No Match")</f>
        <v>17.618172436436193</v>
      </c>
      <c r="H21">
        <v>4</v>
      </c>
      <c r="I21" s="11">
        <v>43782</v>
      </c>
      <c r="J21">
        <f>_xlfn.XLOOKUP(Table2[[#This Row],[Nest_box_ID]],Sheet1!A:A,Sheet1!L:L, "No Match")</f>
        <v>0</v>
      </c>
      <c r="K21" s="11">
        <v>43798</v>
      </c>
      <c r="L21">
        <f>_xlfn.XLOOKUP(Table2[[#This Row],[Nest_box_ID]],Sheet1!A:A,Sheet1!K:K, "No Match")</f>
        <v>16</v>
      </c>
      <c r="M21" s="11">
        <v>43789</v>
      </c>
      <c r="N21" s="16">
        <v>0.43384259259259261</v>
      </c>
      <c r="O21">
        <v>7</v>
      </c>
      <c r="P21">
        <v>63</v>
      </c>
      <c r="Q21" t="s">
        <v>319</v>
      </c>
      <c r="R21">
        <v>272</v>
      </c>
      <c r="S21">
        <f>_xlfn.XLOOKUP(Table2[[#This Row],[Obs_date]],'19-20_niwa_temp_data'!B:B,'19-20_niwa_temp_data'!G:G, "N/A")</f>
        <v>13.516656391282572</v>
      </c>
      <c r="T21">
        <f>_xlfn.XLOOKUP(Table2[[#This Row],[First_egg_lay_date]],'19-20_niwa_temp_data'!B:B,'19-20_niwa_temp_data'!G:G, "No Match")</f>
        <v>17.618172436436193</v>
      </c>
    </row>
    <row r="22" spans="1:20" hidden="1" x14ac:dyDescent="0.35">
      <c r="A22" t="s">
        <v>9</v>
      </c>
      <c r="B22" t="s">
        <v>38</v>
      </c>
      <c r="C22" t="s">
        <v>127</v>
      </c>
      <c r="D22" t="str">
        <f>_xlfn.XLOOKUP(Table2[[#This Row],[Female_ID ]],'19-20_female_cohort'!I:I,'19-20_female_cohort'!H:H, "No Match")</f>
        <v>2018/2019</v>
      </c>
      <c r="E22">
        <v>1</v>
      </c>
      <c r="F22" s="11">
        <v>43779</v>
      </c>
      <c r="G22">
        <f>_xlfn.XLOOKUP(Table2[[#This Row],[First_egg_lay_date]],'19-20_niwa_temp_data'!B:B,'19-20_niwa_temp_data'!G:G, "No Match")</f>
        <v>17.618172436436193</v>
      </c>
      <c r="H22">
        <v>4</v>
      </c>
      <c r="I22" s="11">
        <v>43782</v>
      </c>
      <c r="J22">
        <f>_xlfn.XLOOKUP(Table2[[#This Row],[Nest_box_ID]],Sheet1!A:A,Sheet1!L:L, "No Match")</f>
        <v>0</v>
      </c>
      <c r="K22" s="11">
        <v>43798</v>
      </c>
      <c r="L22">
        <f>_xlfn.XLOOKUP(Table2[[#This Row],[Nest_box_ID]],Sheet1!A:A,Sheet1!K:K, "No Match")</f>
        <v>16</v>
      </c>
      <c r="M22" s="11">
        <v>43789</v>
      </c>
      <c r="N22" s="16">
        <v>0.43699074074074074</v>
      </c>
      <c r="O22">
        <v>7</v>
      </c>
      <c r="P22">
        <v>63</v>
      </c>
      <c r="Q22" t="s">
        <v>320</v>
      </c>
      <c r="R22">
        <v>402</v>
      </c>
      <c r="S22">
        <f>_xlfn.XLOOKUP(Table2[[#This Row],[Obs_date]],'19-20_niwa_temp_data'!B:B,'19-20_niwa_temp_data'!G:G, "N/A")</f>
        <v>13.516656391282572</v>
      </c>
      <c r="T22">
        <f>_xlfn.XLOOKUP(Table2[[#This Row],[First_egg_lay_date]],'19-20_niwa_temp_data'!B:B,'19-20_niwa_temp_data'!G:G, "No Match")</f>
        <v>17.618172436436193</v>
      </c>
    </row>
    <row r="23" spans="1:20" hidden="1" x14ac:dyDescent="0.35">
      <c r="A23" t="s">
        <v>9</v>
      </c>
      <c r="B23" t="s">
        <v>38</v>
      </c>
      <c r="C23" t="s">
        <v>127</v>
      </c>
      <c r="D23" t="str">
        <f>_xlfn.XLOOKUP(Table2[[#This Row],[Female_ID ]],'19-20_female_cohort'!I:I,'19-20_female_cohort'!H:H, "No Match")</f>
        <v>2018/2019</v>
      </c>
      <c r="E23">
        <v>1</v>
      </c>
      <c r="F23" s="11">
        <v>43779</v>
      </c>
      <c r="G23">
        <f>_xlfn.XLOOKUP(Table2[[#This Row],[First_egg_lay_date]],'19-20_niwa_temp_data'!B:B,'19-20_niwa_temp_data'!G:G, "No Match")</f>
        <v>17.618172436436193</v>
      </c>
      <c r="H23">
        <v>4</v>
      </c>
      <c r="I23" s="11">
        <v>43782</v>
      </c>
      <c r="J23">
        <f>_xlfn.XLOOKUP(Table2[[#This Row],[Nest_box_ID]],Sheet1!A:A,Sheet1!L:L, "No Match")</f>
        <v>0</v>
      </c>
      <c r="K23" s="11">
        <v>43798</v>
      </c>
      <c r="L23">
        <f>_xlfn.XLOOKUP(Table2[[#This Row],[Nest_box_ID]],Sheet1!A:A,Sheet1!K:K, "No Match")</f>
        <v>16</v>
      </c>
      <c r="M23" s="11">
        <v>43789</v>
      </c>
      <c r="N23" s="16">
        <v>0.44164351851851852</v>
      </c>
      <c r="O23">
        <v>7</v>
      </c>
      <c r="P23">
        <v>63</v>
      </c>
      <c r="Q23" t="s">
        <v>319</v>
      </c>
      <c r="R23" t="s">
        <v>254</v>
      </c>
      <c r="S23">
        <f>_xlfn.XLOOKUP(Table2[[#This Row],[Obs_date]],'19-20_niwa_temp_data'!B:B,'19-20_niwa_temp_data'!G:G, "N/A")</f>
        <v>13.516656391282572</v>
      </c>
      <c r="T23">
        <f>_xlfn.XLOOKUP(Table2[[#This Row],[First_egg_lay_date]],'19-20_niwa_temp_data'!B:B,'19-20_niwa_temp_data'!G:G, "No Match")</f>
        <v>17.618172436436193</v>
      </c>
    </row>
    <row r="24" spans="1:20" x14ac:dyDescent="0.35">
      <c r="A24" t="s">
        <v>9</v>
      </c>
      <c r="B24" t="s">
        <v>38</v>
      </c>
      <c r="C24" t="s">
        <v>127</v>
      </c>
      <c r="D24" t="str">
        <f>_xlfn.XLOOKUP(Table2[[#This Row],[Female_ID ]],'19-20_female_cohort'!I:I,'19-20_female_cohort'!H:H, "No Match")</f>
        <v>2018/2019</v>
      </c>
      <c r="E24">
        <v>1</v>
      </c>
      <c r="F24" s="11">
        <v>43779</v>
      </c>
      <c r="G24">
        <f>_xlfn.XLOOKUP(Table2[[#This Row],[First_egg_lay_date]],'19-20_niwa_temp_data'!B:B,'19-20_niwa_temp_data'!G:G, "No Match")</f>
        <v>17.618172436436193</v>
      </c>
      <c r="H24">
        <v>4</v>
      </c>
      <c r="I24" s="11">
        <v>43782</v>
      </c>
      <c r="J24">
        <f>_xlfn.XLOOKUP(Table2[[#This Row],[Nest_box_ID]],Sheet1!A:A,Sheet1!L:L, "No Match")</f>
        <v>0</v>
      </c>
      <c r="K24" s="11">
        <v>43798</v>
      </c>
      <c r="L24">
        <f>_xlfn.XLOOKUP(Table2[[#This Row],[Nest_box_ID]],Sheet1!A:A,Sheet1!K:K, "No Match")</f>
        <v>16</v>
      </c>
      <c r="M24" s="11">
        <v>43796</v>
      </c>
      <c r="N24" s="16">
        <v>0.33587962962962964</v>
      </c>
      <c r="O24">
        <v>14</v>
      </c>
      <c r="P24">
        <v>81.016666670000006</v>
      </c>
      <c r="Q24" t="s">
        <v>319</v>
      </c>
      <c r="R24">
        <v>344</v>
      </c>
      <c r="S24">
        <f>_xlfn.XLOOKUP(Table2[[#This Row],[Obs_date]],'19-20_niwa_temp_data'!B:B,'19-20_niwa_temp_data'!G:G, "N/A")</f>
        <v>17.287857010051884</v>
      </c>
      <c r="T24">
        <f>_xlfn.XLOOKUP(Table2[[#This Row],[First_egg_lay_date]],'19-20_niwa_temp_data'!B:B,'19-20_niwa_temp_data'!G:G, "No Match")</f>
        <v>17.618172436436193</v>
      </c>
    </row>
    <row r="25" spans="1:20" hidden="1" x14ac:dyDescent="0.35">
      <c r="A25" t="s">
        <v>9</v>
      </c>
      <c r="B25" t="s">
        <v>38</v>
      </c>
      <c r="C25" t="s">
        <v>127</v>
      </c>
      <c r="D25" t="str">
        <f>_xlfn.XLOOKUP(Table2[[#This Row],[Female_ID ]],'19-20_female_cohort'!I:I,'19-20_female_cohort'!H:H, "No Match")</f>
        <v>2018/2019</v>
      </c>
      <c r="E25">
        <v>1</v>
      </c>
      <c r="F25" s="11">
        <v>43779</v>
      </c>
      <c r="G25">
        <f>_xlfn.XLOOKUP(Table2[[#This Row],[First_egg_lay_date]],'19-20_niwa_temp_data'!B:B,'19-20_niwa_temp_data'!G:G, "No Match")</f>
        <v>17.618172436436193</v>
      </c>
      <c r="H25">
        <v>4</v>
      </c>
      <c r="I25" s="11">
        <v>43782</v>
      </c>
      <c r="J25">
        <f>_xlfn.XLOOKUP(Table2[[#This Row],[Nest_box_ID]],Sheet1!A:A,Sheet1!L:L, "No Match")</f>
        <v>0</v>
      </c>
      <c r="K25" s="11">
        <v>43798</v>
      </c>
      <c r="L25">
        <f>_xlfn.XLOOKUP(Table2[[#This Row],[Nest_box_ID]],Sheet1!A:A,Sheet1!K:K, "No Match")</f>
        <v>16</v>
      </c>
      <c r="M25" s="11">
        <v>43796</v>
      </c>
      <c r="N25" s="16">
        <v>0.33986111111111111</v>
      </c>
      <c r="O25">
        <v>14</v>
      </c>
      <c r="P25">
        <v>81.016666670000006</v>
      </c>
      <c r="Q25" t="s">
        <v>320</v>
      </c>
      <c r="R25">
        <v>437</v>
      </c>
      <c r="S25">
        <f>_xlfn.XLOOKUP(Table2[[#This Row],[Obs_date]],'19-20_niwa_temp_data'!B:B,'19-20_niwa_temp_data'!G:G, "N/A")</f>
        <v>17.287857010051884</v>
      </c>
      <c r="T25">
        <f>_xlfn.XLOOKUP(Table2[[#This Row],[First_egg_lay_date]],'19-20_niwa_temp_data'!B:B,'19-20_niwa_temp_data'!G:G, "No Match")</f>
        <v>17.618172436436193</v>
      </c>
    </row>
    <row r="26" spans="1:20" x14ac:dyDescent="0.35">
      <c r="A26" t="s">
        <v>9</v>
      </c>
      <c r="B26" t="s">
        <v>38</v>
      </c>
      <c r="C26" t="s">
        <v>127</v>
      </c>
      <c r="D26" t="str">
        <f>_xlfn.XLOOKUP(Table2[[#This Row],[Female_ID ]],'19-20_female_cohort'!I:I,'19-20_female_cohort'!H:H, "No Match")</f>
        <v>2018/2019</v>
      </c>
      <c r="E26">
        <v>1</v>
      </c>
      <c r="F26" s="11">
        <v>43779</v>
      </c>
      <c r="G26">
        <f>_xlfn.XLOOKUP(Table2[[#This Row],[First_egg_lay_date]],'19-20_niwa_temp_data'!B:B,'19-20_niwa_temp_data'!G:G, "No Match")</f>
        <v>17.618172436436193</v>
      </c>
      <c r="H26">
        <v>4</v>
      </c>
      <c r="I26" s="11">
        <v>43782</v>
      </c>
      <c r="J26">
        <f>_xlfn.XLOOKUP(Table2[[#This Row],[Nest_box_ID]],Sheet1!A:A,Sheet1!L:L, "No Match")</f>
        <v>0</v>
      </c>
      <c r="K26" s="11">
        <v>43798</v>
      </c>
      <c r="L26">
        <f>_xlfn.XLOOKUP(Table2[[#This Row],[Nest_box_ID]],Sheet1!A:A,Sheet1!K:K, "No Match")</f>
        <v>16</v>
      </c>
      <c r="M26" s="11">
        <v>43796</v>
      </c>
      <c r="N26" s="16">
        <v>0.34491898148148148</v>
      </c>
      <c r="O26">
        <v>14</v>
      </c>
      <c r="P26">
        <v>81.016666670000006</v>
      </c>
      <c r="Q26" t="s">
        <v>319</v>
      </c>
      <c r="R26">
        <v>279</v>
      </c>
      <c r="S26">
        <f>_xlfn.XLOOKUP(Table2[[#This Row],[Obs_date]],'19-20_niwa_temp_data'!B:B,'19-20_niwa_temp_data'!G:G, "N/A")</f>
        <v>17.287857010051884</v>
      </c>
      <c r="T26">
        <f>_xlfn.XLOOKUP(Table2[[#This Row],[First_egg_lay_date]],'19-20_niwa_temp_data'!B:B,'19-20_niwa_temp_data'!G:G, "No Match")</f>
        <v>17.618172436436193</v>
      </c>
    </row>
    <row r="27" spans="1:20" hidden="1" x14ac:dyDescent="0.35">
      <c r="A27" t="s">
        <v>9</v>
      </c>
      <c r="B27" t="s">
        <v>38</v>
      </c>
      <c r="C27" t="s">
        <v>127</v>
      </c>
      <c r="D27" t="str">
        <f>_xlfn.XLOOKUP(Table2[[#This Row],[Female_ID ]],'19-20_female_cohort'!I:I,'19-20_female_cohort'!H:H, "No Match")</f>
        <v>2018/2019</v>
      </c>
      <c r="E27">
        <v>1</v>
      </c>
      <c r="F27" s="11">
        <v>43779</v>
      </c>
      <c r="G27">
        <f>_xlfn.XLOOKUP(Table2[[#This Row],[First_egg_lay_date]],'19-20_niwa_temp_data'!B:B,'19-20_niwa_temp_data'!G:G, "No Match")</f>
        <v>17.618172436436193</v>
      </c>
      <c r="H27">
        <v>4</v>
      </c>
      <c r="I27" s="11">
        <v>43782</v>
      </c>
      <c r="J27">
        <f>_xlfn.XLOOKUP(Table2[[#This Row],[Nest_box_ID]],Sheet1!A:A,Sheet1!L:L, "No Match")</f>
        <v>0</v>
      </c>
      <c r="K27" s="11">
        <v>43798</v>
      </c>
      <c r="L27">
        <f>_xlfn.XLOOKUP(Table2[[#This Row],[Nest_box_ID]],Sheet1!A:A,Sheet1!K:K, "No Match")</f>
        <v>16</v>
      </c>
      <c r="M27" s="11">
        <v>43796</v>
      </c>
      <c r="N27" s="16">
        <v>0.34814814814814815</v>
      </c>
      <c r="O27">
        <v>14</v>
      </c>
      <c r="P27">
        <v>81.016666670000006</v>
      </c>
      <c r="Q27" t="s">
        <v>320</v>
      </c>
      <c r="R27">
        <v>151</v>
      </c>
      <c r="S27">
        <f>_xlfn.XLOOKUP(Table2[[#This Row],[Obs_date]],'19-20_niwa_temp_data'!B:B,'19-20_niwa_temp_data'!G:G, "N/A")</f>
        <v>17.287857010051884</v>
      </c>
      <c r="T27">
        <f>_xlfn.XLOOKUP(Table2[[#This Row],[First_egg_lay_date]],'19-20_niwa_temp_data'!B:B,'19-20_niwa_temp_data'!G:G, "No Match")</f>
        <v>17.618172436436193</v>
      </c>
    </row>
    <row r="28" spans="1:20" x14ac:dyDescent="0.35">
      <c r="A28" t="s">
        <v>9</v>
      </c>
      <c r="B28" t="s">
        <v>38</v>
      </c>
      <c r="C28" t="s">
        <v>127</v>
      </c>
      <c r="D28" t="str">
        <f>_xlfn.XLOOKUP(Table2[[#This Row],[Female_ID ]],'19-20_female_cohort'!I:I,'19-20_female_cohort'!H:H, "No Match")</f>
        <v>2018/2019</v>
      </c>
      <c r="E28">
        <v>1</v>
      </c>
      <c r="F28" s="11">
        <v>43779</v>
      </c>
      <c r="G28">
        <f>_xlfn.XLOOKUP(Table2[[#This Row],[First_egg_lay_date]],'19-20_niwa_temp_data'!B:B,'19-20_niwa_temp_data'!G:G, "No Match")</f>
        <v>17.618172436436193</v>
      </c>
      <c r="H28">
        <v>4</v>
      </c>
      <c r="I28" s="11">
        <v>43782</v>
      </c>
      <c r="J28">
        <f>_xlfn.XLOOKUP(Table2[[#This Row],[Nest_box_ID]],Sheet1!A:A,Sheet1!L:L, "No Match")</f>
        <v>0</v>
      </c>
      <c r="K28" s="11">
        <v>43798</v>
      </c>
      <c r="L28">
        <f>_xlfn.XLOOKUP(Table2[[#This Row],[Nest_box_ID]],Sheet1!A:A,Sheet1!K:K, "No Match")</f>
        <v>16</v>
      </c>
      <c r="M28" s="11">
        <v>43796</v>
      </c>
      <c r="N28" s="16">
        <v>0.34989583333333335</v>
      </c>
      <c r="O28">
        <v>14</v>
      </c>
      <c r="P28">
        <v>81.016666670000006</v>
      </c>
      <c r="Q28" t="s">
        <v>319</v>
      </c>
      <c r="R28">
        <v>230</v>
      </c>
      <c r="S28">
        <f>_xlfn.XLOOKUP(Table2[[#This Row],[Obs_date]],'19-20_niwa_temp_data'!B:B,'19-20_niwa_temp_data'!G:G, "N/A")</f>
        <v>17.287857010051884</v>
      </c>
      <c r="T28">
        <f>_xlfn.XLOOKUP(Table2[[#This Row],[First_egg_lay_date]],'19-20_niwa_temp_data'!B:B,'19-20_niwa_temp_data'!G:G, "No Match")</f>
        <v>17.618172436436193</v>
      </c>
    </row>
    <row r="29" spans="1:20" hidden="1" x14ac:dyDescent="0.35">
      <c r="A29" t="s">
        <v>9</v>
      </c>
      <c r="B29" t="s">
        <v>38</v>
      </c>
      <c r="C29" t="s">
        <v>127</v>
      </c>
      <c r="D29" t="str">
        <f>_xlfn.XLOOKUP(Table2[[#This Row],[Female_ID ]],'19-20_female_cohort'!I:I,'19-20_female_cohort'!H:H, "No Match")</f>
        <v>2018/2019</v>
      </c>
      <c r="E29">
        <v>1</v>
      </c>
      <c r="F29" s="11">
        <v>43779</v>
      </c>
      <c r="G29">
        <f>_xlfn.XLOOKUP(Table2[[#This Row],[First_egg_lay_date]],'19-20_niwa_temp_data'!B:B,'19-20_niwa_temp_data'!G:G, "No Match")</f>
        <v>17.618172436436193</v>
      </c>
      <c r="H29">
        <v>4</v>
      </c>
      <c r="I29" s="11">
        <v>43782</v>
      </c>
      <c r="J29">
        <f>_xlfn.XLOOKUP(Table2[[#This Row],[Nest_box_ID]],Sheet1!A:A,Sheet1!L:L, "No Match")</f>
        <v>0</v>
      </c>
      <c r="K29" s="11">
        <v>43798</v>
      </c>
      <c r="L29">
        <f>_xlfn.XLOOKUP(Table2[[#This Row],[Nest_box_ID]],Sheet1!A:A,Sheet1!K:K, "No Match")</f>
        <v>16</v>
      </c>
      <c r="M29" s="11">
        <v>43796</v>
      </c>
      <c r="N29" s="16">
        <v>0.3525578703703704</v>
      </c>
      <c r="O29">
        <v>14</v>
      </c>
      <c r="P29">
        <v>81.016666670000006</v>
      </c>
      <c r="Q29" t="s">
        <v>320</v>
      </c>
      <c r="R29">
        <v>167</v>
      </c>
      <c r="S29">
        <f>_xlfn.XLOOKUP(Table2[[#This Row],[Obs_date]],'19-20_niwa_temp_data'!B:B,'19-20_niwa_temp_data'!G:G, "N/A")</f>
        <v>17.287857010051884</v>
      </c>
      <c r="T29">
        <f>_xlfn.XLOOKUP(Table2[[#This Row],[First_egg_lay_date]],'19-20_niwa_temp_data'!B:B,'19-20_niwa_temp_data'!G:G, "No Match")</f>
        <v>17.618172436436193</v>
      </c>
    </row>
    <row r="30" spans="1:20" x14ac:dyDescent="0.35">
      <c r="A30" t="s">
        <v>9</v>
      </c>
      <c r="B30" t="s">
        <v>38</v>
      </c>
      <c r="C30" t="s">
        <v>127</v>
      </c>
      <c r="D30" t="str">
        <f>_xlfn.XLOOKUP(Table2[[#This Row],[Female_ID ]],'19-20_female_cohort'!I:I,'19-20_female_cohort'!H:H, "No Match")</f>
        <v>2018/2019</v>
      </c>
      <c r="E30">
        <v>1</v>
      </c>
      <c r="F30" s="11">
        <v>43779</v>
      </c>
      <c r="G30">
        <f>_xlfn.XLOOKUP(Table2[[#This Row],[First_egg_lay_date]],'19-20_niwa_temp_data'!B:B,'19-20_niwa_temp_data'!G:G, "No Match")</f>
        <v>17.618172436436193</v>
      </c>
      <c r="H30">
        <v>4</v>
      </c>
      <c r="I30" s="11">
        <v>43782</v>
      </c>
      <c r="J30">
        <f>_xlfn.XLOOKUP(Table2[[#This Row],[Nest_box_ID]],Sheet1!A:A,Sheet1!L:L, "No Match")</f>
        <v>0</v>
      </c>
      <c r="K30" s="11">
        <v>43798</v>
      </c>
      <c r="L30">
        <f>_xlfn.XLOOKUP(Table2[[#This Row],[Nest_box_ID]],Sheet1!A:A,Sheet1!K:K, "No Match")</f>
        <v>16</v>
      </c>
      <c r="M30" s="11">
        <v>43796</v>
      </c>
      <c r="N30" s="16">
        <v>0.35449074074074072</v>
      </c>
      <c r="O30">
        <v>14</v>
      </c>
      <c r="P30">
        <v>81.016666670000006</v>
      </c>
      <c r="Q30" t="s">
        <v>319</v>
      </c>
      <c r="R30">
        <v>194</v>
      </c>
      <c r="S30">
        <f>_xlfn.XLOOKUP(Table2[[#This Row],[Obs_date]],'19-20_niwa_temp_data'!B:B,'19-20_niwa_temp_data'!G:G, "N/A")</f>
        <v>17.287857010051884</v>
      </c>
      <c r="T30">
        <f>_xlfn.XLOOKUP(Table2[[#This Row],[First_egg_lay_date]],'19-20_niwa_temp_data'!B:B,'19-20_niwa_temp_data'!G:G, "No Match")</f>
        <v>17.618172436436193</v>
      </c>
    </row>
    <row r="31" spans="1:20" hidden="1" x14ac:dyDescent="0.35">
      <c r="A31" t="s">
        <v>9</v>
      </c>
      <c r="B31" t="s">
        <v>38</v>
      </c>
      <c r="C31" t="s">
        <v>127</v>
      </c>
      <c r="D31" t="str">
        <f>_xlfn.XLOOKUP(Table2[[#This Row],[Female_ID ]],'19-20_female_cohort'!I:I,'19-20_female_cohort'!H:H, "No Match")</f>
        <v>2018/2019</v>
      </c>
      <c r="E31">
        <v>1</v>
      </c>
      <c r="F31" s="11">
        <v>43779</v>
      </c>
      <c r="G31">
        <f>_xlfn.XLOOKUP(Table2[[#This Row],[First_egg_lay_date]],'19-20_niwa_temp_data'!B:B,'19-20_niwa_temp_data'!G:G, "No Match")</f>
        <v>17.618172436436193</v>
      </c>
      <c r="H31">
        <v>4</v>
      </c>
      <c r="I31" s="11">
        <v>43782</v>
      </c>
      <c r="J31">
        <f>_xlfn.XLOOKUP(Table2[[#This Row],[Nest_box_ID]],Sheet1!A:A,Sheet1!L:L, "No Match")</f>
        <v>0</v>
      </c>
      <c r="K31" s="11">
        <v>43798</v>
      </c>
      <c r="L31">
        <f>_xlfn.XLOOKUP(Table2[[#This Row],[Nest_box_ID]],Sheet1!A:A,Sheet1!K:K, "No Match")</f>
        <v>16</v>
      </c>
      <c r="M31" s="11">
        <v>43796</v>
      </c>
      <c r="N31" s="16">
        <v>0.35673611111111109</v>
      </c>
      <c r="O31">
        <v>14</v>
      </c>
      <c r="P31">
        <v>81.016666670000006</v>
      </c>
      <c r="Q31" t="s">
        <v>320</v>
      </c>
      <c r="R31">
        <v>215</v>
      </c>
      <c r="S31">
        <f>_xlfn.XLOOKUP(Table2[[#This Row],[Obs_date]],'19-20_niwa_temp_data'!B:B,'19-20_niwa_temp_data'!G:G, "N/A")</f>
        <v>17.287857010051884</v>
      </c>
      <c r="T31">
        <f>_xlfn.XLOOKUP(Table2[[#This Row],[First_egg_lay_date]],'19-20_niwa_temp_data'!B:B,'19-20_niwa_temp_data'!G:G, "No Match")</f>
        <v>17.618172436436193</v>
      </c>
    </row>
    <row r="32" spans="1:20" x14ac:dyDescent="0.35">
      <c r="A32" t="s">
        <v>9</v>
      </c>
      <c r="B32" t="s">
        <v>38</v>
      </c>
      <c r="C32" t="s">
        <v>127</v>
      </c>
      <c r="D32" t="str">
        <f>_xlfn.XLOOKUP(Table2[[#This Row],[Female_ID ]],'19-20_female_cohort'!I:I,'19-20_female_cohort'!H:H, "No Match")</f>
        <v>2018/2019</v>
      </c>
      <c r="E32">
        <v>1</v>
      </c>
      <c r="F32" s="11">
        <v>43779</v>
      </c>
      <c r="G32">
        <f>_xlfn.XLOOKUP(Table2[[#This Row],[First_egg_lay_date]],'19-20_niwa_temp_data'!B:B,'19-20_niwa_temp_data'!G:G, "No Match")</f>
        <v>17.618172436436193</v>
      </c>
      <c r="H32">
        <v>4</v>
      </c>
      <c r="I32" s="11">
        <v>43782</v>
      </c>
      <c r="J32">
        <f>_xlfn.XLOOKUP(Table2[[#This Row],[Nest_box_ID]],Sheet1!A:A,Sheet1!L:L, "No Match")</f>
        <v>0</v>
      </c>
      <c r="K32" s="11">
        <v>43798</v>
      </c>
      <c r="L32">
        <f>_xlfn.XLOOKUP(Table2[[#This Row],[Nest_box_ID]],Sheet1!A:A,Sheet1!K:K, "No Match")</f>
        <v>16</v>
      </c>
      <c r="M32" s="11">
        <v>43796</v>
      </c>
      <c r="N32" s="16">
        <v>0.35922453703703705</v>
      </c>
      <c r="O32">
        <v>14</v>
      </c>
      <c r="P32">
        <v>81.016666670000006</v>
      </c>
      <c r="Q32" t="s">
        <v>319</v>
      </c>
      <c r="R32">
        <v>132</v>
      </c>
      <c r="S32">
        <f>_xlfn.XLOOKUP(Table2[[#This Row],[Obs_date]],'19-20_niwa_temp_data'!B:B,'19-20_niwa_temp_data'!G:G, "N/A")</f>
        <v>17.287857010051884</v>
      </c>
      <c r="T32">
        <f>_xlfn.XLOOKUP(Table2[[#This Row],[First_egg_lay_date]],'19-20_niwa_temp_data'!B:B,'19-20_niwa_temp_data'!G:G, "No Match")</f>
        <v>17.618172436436193</v>
      </c>
    </row>
    <row r="33" spans="1:20" hidden="1" x14ac:dyDescent="0.35">
      <c r="A33" t="s">
        <v>9</v>
      </c>
      <c r="B33" t="s">
        <v>38</v>
      </c>
      <c r="C33" t="s">
        <v>127</v>
      </c>
      <c r="D33" t="str">
        <f>_xlfn.XLOOKUP(Table2[[#This Row],[Female_ID ]],'19-20_female_cohort'!I:I,'19-20_female_cohort'!H:H, "No Match")</f>
        <v>2018/2019</v>
      </c>
      <c r="E33">
        <v>1</v>
      </c>
      <c r="F33" s="11">
        <v>43779</v>
      </c>
      <c r="G33">
        <f>_xlfn.XLOOKUP(Table2[[#This Row],[First_egg_lay_date]],'19-20_niwa_temp_data'!B:B,'19-20_niwa_temp_data'!G:G, "No Match")</f>
        <v>17.618172436436193</v>
      </c>
      <c r="H33">
        <v>4</v>
      </c>
      <c r="I33" s="11">
        <v>43782</v>
      </c>
      <c r="J33">
        <f>_xlfn.XLOOKUP(Table2[[#This Row],[Nest_box_ID]],Sheet1!A:A,Sheet1!L:L, "No Match")</f>
        <v>0</v>
      </c>
      <c r="K33" s="11">
        <v>43798</v>
      </c>
      <c r="L33">
        <f>_xlfn.XLOOKUP(Table2[[#This Row],[Nest_box_ID]],Sheet1!A:A,Sheet1!K:K, "No Match")</f>
        <v>16</v>
      </c>
      <c r="M33" s="11">
        <v>43796</v>
      </c>
      <c r="N33" s="16">
        <v>0.36075231481481479</v>
      </c>
      <c r="O33">
        <v>14</v>
      </c>
      <c r="P33">
        <v>81.016666670000006</v>
      </c>
      <c r="Q33" t="s">
        <v>320</v>
      </c>
      <c r="R33">
        <v>157</v>
      </c>
      <c r="S33">
        <f>_xlfn.XLOOKUP(Table2[[#This Row],[Obs_date]],'19-20_niwa_temp_data'!B:B,'19-20_niwa_temp_data'!G:G, "N/A")</f>
        <v>17.287857010051884</v>
      </c>
      <c r="T33">
        <f>_xlfn.XLOOKUP(Table2[[#This Row],[First_egg_lay_date]],'19-20_niwa_temp_data'!B:B,'19-20_niwa_temp_data'!G:G, "No Match")</f>
        <v>17.618172436436193</v>
      </c>
    </row>
    <row r="34" spans="1:20" x14ac:dyDescent="0.35">
      <c r="A34" t="s">
        <v>9</v>
      </c>
      <c r="B34" t="s">
        <v>38</v>
      </c>
      <c r="C34" t="s">
        <v>127</v>
      </c>
      <c r="D34" t="str">
        <f>_xlfn.XLOOKUP(Table2[[#This Row],[Female_ID ]],'19-20_female_cohort'!I:I,'19-20_female_cohort'!H:H, "No Match")</f>
        <v>2018/2019</v>
      </c>
      <c r="E34">
        <v>1</v>
      </c>
      <c r="F34" s="11">
        <v>43779</v>
      </c>
      <c r="G34">
        <f>_xlfn.XLOOKUP(Table2[[#This Row],[First_egg_lay_date]],'19-20_niwa_temp_data'!B:B,'19-20_niwa_temp_data'!G:G, "No Match")</f>
        <v>17.618172436436193</v>
      </c>
      <c r="H34">
        <v>4</v>
      </c>
      <c r="I34" s="11">
        <v>43782</v>
      </c>
      <c r="J34">
        <f>_xlfn.XLOOKUP(Table2[[#This Row],[Nest_box_ID]],Sheet1!A:A,Sheet1!L:L, "No Match")</f>
        <v>0</v>
      </c>
      <c r="K34" s="11">
        <v>43798</v>
      </c>
      <c r="L34">
        <f>_xlfn.XLOOKUP(Table2[[#This Row],[Nest_box_ID]],Sheet1!A:A,Sheet1!K:K, "No Match")</f>
        <v>16</v>
      </c>
      <c r="M34" s="11">
        <v>43796</v>
      </c>
      <c r="N34" s="16">
        <v>0.36256944444444444</v>
      </c>
      <c r="O34">
        <v>14</v>
      </c>
      <c r="P34">
        <v>81.016666670000006</v>
      </c>
      <c r="Q34" t="s">
        <v>319</v>
      </c>
      <c r="R34">
        <v>759</v>
      </c>
      <c r="S34">
        <f>_xlfn.XLOOKUP(Table2[[#This Row],[Obs_date]],'19-20_niwa_temp_data'!B:B,'19-20_niwa_temp_data'!G:G, "N/A")</f>
        <v>17.287857010051884</v>
      </c>
      <c r="T34">
        <f>_xlfn.XLOOKUP(Table2[[#This Row],[First_egg_lay_date]],'19-20_niwa_temp_data'!B:B,'19-20_niwa_temp_data'!G:G, "No Match")</f>
        <v>17.618172436436193</v>
      </c>
    </row>
    <row r="35" spans="1:20" hidden="1" x14ac:dyDescent="0.35">
      <c r="A35" t="s">
        <v>9</v>
      </c>
      <c r="B35" t="s">
        <v>38</v>
      </c>
      <c r="C35" t="s">
        <v>127</v>
      </c>
      <c r="D35" t="str">
        <f>_xlfn.XLOOKUP(Table2[[#This Row],[Female_ID ]],'19-20_female_cohort'!I:I,'19-20_female_cohort'!H:H, "No Match")</f>
        <v>2018/2019</v>
      </c>
      <c r="E35">
        <v>1</v>
      </c>
      <c r="F35" s="11">
        <v>43779</v>
      </c>
      <c r="G35">
        <f>_xlfn.XLOOKUP(Table2[[#This Row],[First_egg_lay_date]],'19-20_niwa_temp_data'!B:B,'19-20_niwa_temp_data'!G:G, "No Match")</f>
        <v>17.618172436436193</v>
      </c>
      <c r="H35">
        <v>4</v>
      </c>
      <c r="I35" s="11">
        <v>43782</v>
      </c>
      <c r="J35">
        <f>_xlfn.XLOOKUP(Table2[[#This Row],[Nest_box_ID]],Sheet1!A:A,Sheet1!L:L, "No Match")</f>
        <v>0</v>
      </c>
      <c r="K35" s="11">
        <v>43798</v>
      </c>
      <c r="L35">
        <f>_xlfn.XLOOKUP(Table2[[#This Row],[Nest_box_ID]],Sheet1!A:A,Sheet1!K:K, "No Match")</f>
        <v>16</v>
      </c>
      <c r="M35" s="11">
        <v>43796</v>
      </c>
      <c r="N35" s="16">
        <v>0.37135416666666665</v>
      </c>
      <c r="O35">
        <v>14</v>
      </c>
      <c r="P35">
        <v>81.016666670000006</v>
      </c>
      <c r="Q35" t="s">
        <v>319</v>
      </c>
      <c r="R35" t="s">
        <v>254</v>
      </c>
      <c r="S35">
        <f>_xlfn.XLOOKUP(Table2[[#This Row],[Obs_date]],'19-20_niwa_temp_data'!B:B,'19-20_niwa_temp_data'!G:G, "N/A")</f>
        <v>17.287857010051884</v>
      </c>
      <c r="T35">
        <f>_xlfn.XLOOKUP(Table2[[#This Row],[First_egg_lay_date]],'19-20_niwa_temp_data'!B:B,'19-20_niwa_temp_data'!G:G, "No Match")</f>
        <v>17.618172436436193</v>
      </c>
    </row>
    <row r="36" spans="1:20" x14ac:dyDescent="0.35">
      <c r="A36" t="s">
        <v>9</v>
      </c>
      <c r="B36" t="s">
        <v>25</v>
      </c>
      <c r="C36" s="3" t="s">
        <v>114</v>
      </c>
      <c r="D36" t="str">
        <f>_xlfn.XLOOKUP(Table2[[#This Row],[Female_ID ]],'19-20_female_cohort'!I:I,'19-20_female_cohort'!H:H, "No Match")</f>
        <v>2016/2017</v>
      </c>
      <c r="E36">
        <v>3</v>
      </c>
      <c r="F36" s="11">
        <v>43774</v>
      </c>
      <c r="G36">
        <f>_xlfn.XLOOKUP(Table2[[#This Row],[First_egg_lay_date]],'19-20_niwa_temp_data'!B:B,'19-20_niwa_temp_data'!G:G, "No Match")</f>
        <v>16.129166128476697</v>
      </c>
      <c r="H36">
        <v>4</v>
      </c>
      <c r="I36" s="11">
        <v>43778</v>
      </c>
      <c r="J36">
        <f>_xlfn.XLOOKUP(Table2[[#This Row],[Nest_box_ID]],Sheet1!A:A,Sheet1!L:L, "No Match")</f>
        <v>1</v>
      </c>
      <c r="K36" s="11">
        <v>43792</v>
      </c>
      <c r="L36">
        <f>_xlfn.XLOOKUP(Table2[[#This Row],[Nest_box_ID]],Sheet1!A:A,Sheet1!K:K, "No Match")</f>
        <v>14</v>
      </c>
      <c r="M36" s="11">
        <v>43779</v>
      </c>
      <c r="N36" s="16">
        <v>0.62599537037037034</v>
      </c>
      <c r="O36">
        <v>1</v>
      </c>
      <c r="P36">
        <v>69</v>
      </c>
      <c r="Q36" t="s">
        <v>319</v>
      </c>
      <c r="R36">
        <v>288</v>
      </c>
      <c r="S36">
        <f>_xlfn.XLOOKUP(Table2[[#This Row],[Obs_date]],'19-20_niwa_temp_data'!B:B,'19-20_niwa_temp_data'!G:G, "N/A")</f>
        <v>17.618172436436193</v>
      </c>
      <c r="T36">
        <f>_xlfn.XLOOKUP(Table2[[#This Row],[First_egg_lay_date]],'19-20_niwa_temp_data'!B:B,'19-20_niwa_temp_data'!G:G, "No Match")</f>
        <v>16.129166128476697</v>
      </c>
    </row>
    <row r="37" spans="1:20" hidden="1" x14ac:dyDescent="0.35">
      <c r="A37" t="s">
        <v>9</v>
      </c>
      <c r="B37" t="s">
        <v>25</v>
      </c>
      <c r="C37" s="3" t="s">
        <v>114</v>
      </c>
      <c r="D37" t="str">
        <f>_xlfn.XLOOKUP(Table2[[#This Row],[Female_ID ]],'19-20_female_cohort'!I:I,'19-20_female_cohort'!H:H, "No Match")</f>
        <v>2016/2017</v>
      </c>
      <c r="E37">
        <v>3</v>
      </c>
      <c r="F37" s="11">
        <v>43774</v>
      </c>
      <c r="G37">
        <f>_xlfn.XLOOKUP(Table2[[#This Row],[First_egg_lay_date]],'19-20_niwa_temp_data'!B:B,'19-20_niwa_temp_data'!G:G, "No Match")</f>
        <v>16.129166128476697</v>
      </c>
      <c r="H37">
        <v>4</v>
      </c>
      <c r="I37" s="11">
        <v>43778</v>
      </c>
      <c r="J37">
        <f>_xlfn.XLOOKUP(Table2[[#This Row],[Nest_box_ID]],Sheet1!A:A,Sheet1!L:L, "No Match")</f>
        <v>1</v>
      </c>
      <c r="K37" s="11">
        <v>43792</v>
      </c>
      <c r="L37">
        <f>_xlfn.XLOOKUP(Table2[[#This Row],[Nest_box_ID]],Sheet1!A:A,Sheet1!K:K, "No Match")</f>
        <v>14</v>
      </c>
      <c r="M37" s="11">
        <v>43779</v>
      </c>
      <c r="N37" s="16">
        <v>0.62932870370370375</v>
      </c>
      <c r="O37">
        <v>1</v>
      </c>
      <c r="P37">
        <v>69</v>
      </c>
      <c r="Q37" t="s">
        <v>320</v>
      </c>
      <c r="R37">
        <v>1854</v>
      </c>
      <c r="S37">
        <f>_xlfn.XLOOKUP(Table2[[#This Row],[Obs_date]],'19-20_niwa_temp_data'!B:B,'19-20_niwa_temp_data'!G:G, "N/A")</f>
        <v>17.618172436436193</v>
      </c>
      <c r="T37">
        <f>_xlfn.XLOOKUP(Table2[[#This Row],[First_egg_lay_date]],'19-20_niwa_temp_data'!B:B,'19-20_niwa_temp_data'!G:G, "No Match")</f>
        <v>16.129166128476697</v>
      </c>
    </row>
    <row r="38" spans="1:20" x14ac:dyDescent="0.35">
      <c r="A38" t="s">
        <v>9</v>
      </c>
      <c r="B38" t="s">
        <v>25</v>
      </c>
      <c r="C38" s="3" t="s">
        <v>114</v>
      </c>
      <c r="D38" t="str">
        <f>_xlfn.XLOOKUP(Table2[[#This Row],[Female_ID ]],'19-20_female_cohort'!I:I,'19-20_female_cohort'!H:H, "No Match")</f>
        <v>2016/2017</v>
      </c>
      <c r="E38">
        <v>3</v>
      </c>
      <c r="F38" s="11">
        <v>43774</v>
      </c>
      <c r="G38">
        <f>_xlfn.XLOOKUP(Table2[[#This Row],[First_egg_lay_date]],'19-20_niwa_temp_data'!B:B,'19-20_niwa_temp_data'!G:G, "No Match")</f>
        <v>16.129166128476697</v>
      </c>
      <c r="H38">
        <v>4</v>
      </c>
      <c r="I38" s="11">
        <v>43778</v>
      </c>
      <c r="J38">
        <f>_xlfn.XLOOKUP(Table2[[#This Row],[Nest_box_ID]],Sheet1!A:A,Sheet1!L:L, "No Match")</f>
        <v>1</v>
      </c>
      <c r="K38" s="11">
        <v>43792</v>
      </c>
      <c r="L38">
        <f>_xlfn.XLOOKUP(Table2[[#This Row],[Nest_box_ID]],Sheet1!A:A,Sheet1!K:K, "No Match")</f>
        <v>14</v>
      </c>
      <c r="M38" s="11">
        <v>43779</v>
      </c>
      <c r="N38" s="16">
        <v>0.650787037037037</v>
      </c>
      <c r="O38">
        <v>1</v>
      </c>
      <c r="P38">
        <v>69</v>
      </c>
      <c r="Q38" t="s">
        <v>319</v>
      </c>
      <c r="R38">
        <v>175</v>
      </c>
      <c r="S38">
        <f>_xlfn.XLOOKUP(Table2[[#This Row],[Obs_date]],'19-20_niwa_temp_data'!B:B,'19-20_niwa_temp_data'!G:G, "N/A")</f>
        <v>17.618172436436193</v>
      </c>
      <c r="T38">
        <f>_xlfn.XLOOKUP(Table2[[#This Row],[First_egg_lay_date]],'19-20_niwa_temp_data'!B:B,'19-20_niwa_temp_data'!G:G, "No Match")</f>
        <v>16.129166128476697</v>
      </c>
    </row>
    <row r="39" spans="1:20" hidden="1" x14ac:dyDescent="0.35">
      <c r="A39" t="s">
        <v>9</v>
      </c>
      <c r="B39" t="s">
        <v>25</v>
      </c>
      <c r="C39" s="3" t="s">
        <v>114</v>
      </c>
      <c r="D39" t="str">
        <f>_xlfn.XLOOKUP(Table2[[#This Row],[Female_ID ]],'19-20_female_cohort'!I:I,'19-20_female_cohort'!H:H, "No Match")</f>
        <v>2016/2017</v>
      </c>
      <c r="E39">
        <v>3</v>
      </c>
      <c r="F39" s="11">
        <v>43774</v>
      </c>
      <c r="G39">
        <f>_xlfn.XLOOKUP(Table2[[#This Row],[First_egg_lay_date]],'19-20_niwa_temp_data'!B:B,'19-20_niwa_temp_data'!G:G, "No Match")</f>
        <v>16.129166128476697</v>
      </c>
      <c r="H39">
        <v>4</v>
      </c>
      <c r="I39" s="11">
        <v>43778</v>
      </c>
      <c r="J39">
        <f>_xlfn.XLOOKUP(Table2[[#This Row],[Nest_box_ID]],Sheet1!A:A,Sheet1!L:L, "No Match")</f>
        <v>1</v>
      </c>
      <c r="K39" s="11">
        <v>43792</v>
      </c>
      <c r="L39">
        <f>_xlfn.XLOOKUP(Table2[[#This Row],[Nest_box_ID]],Sheet1!A:A,Sheet1!K:K, "No Match")</f>
        <v>14</v>
      </c>
      <c r="M39" s="11">
        <v>43779</v>
      </c>
      <c r="N39" s="16">
        <v>0.65281250000000002</v>
      </c>
      <c r="O39">
        <v>1</v>
      </c>
      <c r="P39">
        <v>69</v>
      </c>
      <c r="Q39" t="s">
        <v>320</v>
      </c>
      <c r="R39">
        <v>467</v>
      </c>
      <c r="S39">
        <f>_xlfn.XLOOKUP(Table2[[#This Row],[Obs_date]],'19-20_niwa_temp_data'!B:B,'19-20_niwa_temp_data'!G:G, "N/A")</f>
        <v>17.618172436436193</v>
      </c>
      <c r="T39">
        <f>_xlfn.XLOOKUP(Table2[[#This Row],[First_egg_lay_date]],'19-20_niwa_temp_data'!B:B,'19-20_niwa_temp_data'!G:G, "No Match")</f>
        <v>16.129166128476697</v>
      </c>
    </row>
    <row r="40" spans="1:20" x14ac:dyDescent="0.35">
      <c r="A40" t="s">
        <v>9</v>
      </c>
      <c r="B40" t="s">
        <v>25</v>
      </c>
      <c r="C40" s="3" t="s">
        <v>114</v>
      </c>
      <c r="D40" t="str">
        <f>_xlfn.XLOOKUP(Table2[[#This Row],[Female_ID ]],'19-20_female_cohort'!I:I,'19-20_female_cohort'!H:H, "No Match")</f>
        <v>2016/2017</v>
      </c>
      <c r="E40">
        <v>3</v>
      </c>
      <c r="F40" s="11">
        <v>43774</v>
      </c>
      <c r="G40">
        <f>_xlfn.XLOOKUP(Table2[[#This Row],[First_egg_lay_date]],'19-20_niwa_temp_data'!B:B,'19-20_niwa_temp_data'!G:G, "No Match")</f>
        <v>16.129166128476697</v>
      </c>
      <c r="H40">
        <v>4</v>
      </c>
      <c r="I40" s="11">
        <v>43778</v>
      </c>
      <c r="J40">
        <f>_xlfn.XLOOKUP(Table2[[#This Row],[Nest_box_ID]],Sheet1!A:A,Sheet1!L:L, "No Match")</f>
        <v>1</v>
      </c>
      <c r="K40" s="11">
        <v>43792</v>
      </c>
      <c r="L40">
        <f>_xlfn.XLOOKUP(Table2[[#This Row],[Nest_box_ID]],Sheet1!A:A,Sheet1!K:K, "No Match")</f>
        <v>14</v>
      </c>
      <c r="M40" s="11">
        <v>43779</v>
      </c>
      <c r="N40" s="16">
        <v>0.6582175925925926</v>
      </c>
      <c r="O40">
        <v>1</v>
      </c>
      <c r="P40">
        <v>69</v>
      </c>
      <c r="Q40" t="s">
        <v>319</v>
      </c>
      <c r="R40">
        <v>331</v>
      </c>
      <c r="S40">
        <f>_xlfn.XLOOKUP(Table2[[#This Row],[Obs_date]],'19-20_niwa_temp_data'!B:B,'19-20_niwa_temp_data'!G:G, "N/A")</f>
        <v>17.618172436436193</v>
      </c>
      <c r="T40">
        <f>_xlfn.XLOOKUP(Table2[[#This Row],[First_egg_lay_date]],'19-20_niwa_temp_data'!B:B,'19-20_niwa_temp_data'!G:G, "No Match")</f>
        <v>16.129166128476697</v>
      </c>
    </row>
    <row r="41" spans="1:20" hidden="1" x14ac:dyDescent="0.35">
      <c r="A41" t="s">
        <v>9</v>
      </c>
      <c r="B41" t="s">
        <v>25</v>
      </c>
      <c r="C41" s="3" t="s">
        <v>114</v>
      </c>
      <c r="D41" t="str">
        <f>_xlfn.XLOOKUP(Table2[[#This Row],[Female_ID ]],'19-20_female_cohort'!I:I,'19-20_female_cohort'!H:H, "No Match")</f>
        <v>2016/2017</v>
      </c>
      <c r="E41">
        <v>3</v>
      </c>
      <c r="F41" s="11">
        <v>43774</v>
      </c>
      <c r="G41">
        <f>_xlfn.XLOOKUP(Table2[[#This Row],[First_egg_lay_date]],'19-20_niwa_temp_data'!B:B,'19-20_niwa_temp_data'!G:G, "No Match")</f>
        <v>16.129166128476697</v>
      </c>
      <c r="H41">
        <v>4</v>
      </c>
      <c r="I41" s="11">
        <v>43778</v>
      </c>
      <c r="J41">
        <f>_xlfn.XLOOKUP(Table2[[#This Row],[Nest_box_ID]],Sheet1!A:A,Sheet1!L:L, "No Match")</f>
        <v>1</v>
      </c>
      <c r="K41" s="11">
        <v>43792</v>
      </c>
      <c r="L41">
        <f>_xlfn.XLOOKUP(Table2[[#This Row],[Nest_box_ID]],Sheet1!A:A,Sheet1!K:K, "No Match")</f>
        <v>14</v>
      </c>
      <c r="M41" s="11">
        <v>43779</v>
      </c>
      <c r="N41" s="16">
        <v>0.66204861111111113</v>
      </c>
      <c r="O41">
        <v>1</v>
      </c>
      <c r="P41">
        <v>69</v>
      </c>
      <c r="Q41" t="s">
        <v>320</v>
      </c>
      <c r="R41" t="s">
        <v>254</v>
      </c>
      <c r="S41">
        <f>_xlfn.XLOOKUP(Table2[[#This Row],[Obs_date]],'19-20_niwa_temp_data'!B:B,'19-20_niwa_temp_data'!G:G, "N/A")</f>
        <v>17.618172436436193</v>
      </c>
      <c r="T41">
        <f>_xlfn.XLOOKUP(Table2[[#This Row],[First_egg_lay_date]],'19-20_niwa_temp_data'!B:B,'19-20_niwa_temp_data'!G:G, "No Match")</f>
        <v>16.129166128476697</v>
      </c>
    </row>
    <row r="42" spans="1:20" x14ac:dyDescent="0.35">
      <c r="A42" t="s">
        <v>9</v>
      </c>
      <c r="B42" t="s">
        <v>25</v>
      </c>
      <c r="C42" s="3" t="s">
        <v>114</v>
      </c>
      <c r="D42" t="str">
        <f>_xlfn.XLOOKUP(Table2[[#This Row],[Female_ID ]],'19-20_female_cohort'!I:I,'19-20_female_cohort'!H:H, "No Match")</f>
        <v>2016/2017</v>
      </c>
      <c r="E42">
        <v>3</v>
      </c>
      <c r="F42" s="11">
        <v>43774</v>
      </c>
      <c r="G42">
        <f>_xlfn.XLOOKUP(Table2[[#This Row],[First_egg_lay_date]],'19-20_niwa_temp_data'!B:B,'19-20_niwa_temp_data'!G:G, "No Match")</f>
        <v>16.129166128476697</v>
      </c>
      <c r="H42">
        <v>4</v>
      </c>
      <c r="I42" s="11">
        <v>43778</v>
      </c>
      <c r="J42">
        <f>_xlfn.XLOOKUP(Table2[[#This Row],[Nest_box_ID]],Sheet1!A:A,Sheet1!L:L, "No Match")</f>
        <v>1</v>
      </c>
      <c r="K42" s="11">
        <v>43792</v>
      </c>
      <c r="L42">
        <f>_xlfn.XLOOKUP(Table2[[#This Row],[Nest_box_ID]],Sheet1!A:A,Sheet1!K:K, "No Match")</f>
        <v>14</v>
      </c>
      <c r="M42" s="11">
        <v>43787</v>
      </c>
      <c r="N42" s="16">
        <v>0.51634259259259263</v>
      </c>
      <c r="O42">
        <v>7</v>
      </c>
      <c r="P42">
        <v>60</v>
      </c>
      <c r="Q42" t="s">
        <v>319</v>
      </c>
      <c r="R42">
        <v>330</v>
      </c>
      <c r="S42">
        <f>_xlfn.XLOOKUP(Table2[[#This Row],[Obs_date]],'19-20_niwa_temp_data'!B:B,'19-20_niwa_temp_data'!G:G, "N/A")</f>
        <v>16.814279645586961</v>
      </c>
      <c r="T42">
        <f>_xlfn.XLOOKUP(Table2[[#This Row],[First_egg_lay_date]],'19-20_niwa_temp_data'!B:B,'19-20_niwa_temp_data'!G:G, "No Match")</f>
        <v>16.129166128476697</v>
      </c>
    </row>
    <row r="43" spans="1:20" hidden="1" x14ac:dyDescent="0.35">
      <c r="A43" t="s">
        <v>9</v>
      </c>
      <c r="B43" t="s">
        <v>25</v>
      </c>
      <c r="C43" s="3" t="s">
        <v>114</v>
      </c>
      <c r="D43" t="str">
        <f>_xlfn.XLOOKUP(Table2[[#This Row],[Female_ID ]],'19-20_female_cohort'!I:I,'19-20_female_cohort'!H:H, "No Match")</f>
        <v>2016/2017</v>
      </c>
      <c r="E43">
        <v>3</v>
      </c>
      <c r="F43" s="11">
        <v>43774</v>
      </c>
      <c r="G43">
        <f>_xlfn.XLOOKUP(Table2[[#This Row],[First_egg_lay_date]],'19-20_niwa_temp_data'!B:B,'19-20_niwa_temp_data'!G:G, "No Match")</f>
        <v>16.129166128476697</v>
      </c>
      <c r="H43">
        <v>4</v>
      </c>
      <c r="I43" s="11">
        <v>43778</v>
      </c>
      <c r="J43">
        <f>_xlfn.XLOOKUP(Table2[[#This Row],[Nest_box_ID]],Sheet1!A:A,Sheet1!L:L, "No Match")</f>
        <v>1</v>
      </c>
      <c r="K43" s="11">
        <v>43792</v>
      </c>
      <c r="L43">
        <f>_xlfn.XLOOKUP(Table2[[#This Row],[Nest_box_ID]],Sheet1!A:A,Sheet1!K:K, "No Match")</f>
        <v>14</v>
      </c>
      <c r="M43" s="11">
        <v>43787</v>
      </c>
      <c r="N43" s="16">
        <v>0.52016203703703701</v>
      </c>
      <c r="O43">
        <v>7</v>
      </c>
      <c r="P43">
        <v>60</v>
      </c>
      <c r="Q43" t="s">
        <v>320</v>
      </c>
      <c r="R43">
        <v>1341</v>
      </c>
      <c r="S43">
        <f>_xlfn.XLOOKUP(Table2[[#This Row],[Obs_date]],'19-20_niwa_temp_data'!B:B,'19-20_niwa_temp_data'!G:G, "N/A")</f>
        <v>16.814279645586961</v>
      </c>
      <c r="T43">
        <f>_xlfn.XLOOKUP(Table2[[#This Row],[First_egg_lay_date]],'19-20_niwa_temp_data'!B:B,'19-20_niwa_temp_data'!G:G, "No Match")</f>
        <v>16.129166128476697</v>
      </c>
    </row>
    <row r="44" spans="1:20" x14ac:dyDescent="0.35">
      <c r="A44" t="s">
        <v>9</v>
      </c>
      <c r="B44" t="s">
        <v>25</v>
      </c>
      <c r="C44" s="3" t="s">
        <v>114</v>
      </c>
      <c r="D44" t="str">
        <f>_xlfn.XLOOKUP(Table2[[#This Row],[Female_ID ]],'19-20_female_cohort'!I:I,'19-20_female_cohort'!H:H, "No Match")</f>
        <v>2016/2017</v>
      </c>
      <c r="E44">
        <v>3</v>
      </c>
      <c r="F44" s="11">
        <v>43774</v>
      </c>
      <c r="G44">
        <f>_xlfn.XLOOKUP(Table2[[#This Row],[First_egg_lay_date]],'19-20_niwa_temp_data'!B:B,'19-20_niwa_temp_data'!G:G, "No Match")</f>
        <v>16.129166128476697</v>
      </c>
      <c r="H44">
        <v>4</v>
      </c>
      <c r="I44" s="11">
        <v>43778</v>
      </c>
      <c r="J44">
        <f>_xlfn.XLOOKUP(Table2[[#This Row],[Nest_box_ID]],Sheet1!A:A,Sheet1!L:L, "No Match")</f>
        <v>1</v>
      </c>
      <c r="K44" s="11">
        <v>43792</v>
      </c>
      <c r="L44">
        <f>_xlfn.XLOOKUP(Table2[[#This Row],[Nest_box_ID]],Sheet1!A:A,Sheet1!K:K, "No Match")</f>
        <v>14</v>
      </c>
      <c r="M44" s="11">
        <v>43787</v>
      </c>
      <c r="N44" s="16">
        <v>0.53568287037037032</v>
      </c>
      <c r="O44">
        <v>7</v>
      </c>
      <c r="P44">
        <v>60</v>
      </c>
      <c r="Q44" t="s">
        <v>319</v>
      </c>
      <c r="R44">
        <v>352</v>
      </c>
      <c r="S44">
        <f>_xlfn.XLOOKUP(Table2[[#This Row],[Obs_date]],'19-20_niwa_temp_data'!B:B,'19-20_niwa_temp_data'!G:G, "N/A")</f>
        <v>16.814279645586961</v>
      </c>
      <c r="T44">
        <f>_xlfn.XLOOKUP(Table2[[#This Row],[First_egg_lay_date]],'19-20_niwa_temp_data'!B:B,'19-20_niwa_temp_data'!G:G, "No Match")</f>
        <v>16.129166128476697</v>
      </c>
    </row>
    <row r="45" spans="1:20" hidden="1" x14ac:dyDescent="0.35">
      <c r="A45" t="s">
        <v>9</v>
      </c>
      <c r="B45" t="s">
        <v>25</v>
      </c>
      <c r="C45" s="3" t="s">
        <v>114</v>
      </c>
      <c r="D45" t="str">
        <f>_xlfn.XLOOKUP(Table2[[#This Row],[Female_ID ]],'19-20_female_cohort'!I:I,'19-20_female_cohort'!H:H, "No Match")</f>
        <v>2016/2017</v>
      </c>
      <c r="E45">
        <v>3</v>
      </c>
      <c r="F45" s="11">
        <v>43774</v>
      </c>
      <c r="G45">
        <f>_xlfn.XLOOKUP(Table2[[#This Row],[First_egg_lay_date]],'19-20_niwa_temp_data'!B:B,'19-20_niwa_temp_data'!G:G, "No Match")</f>
        <v>16.129166128476697</v>
      </c>
      <c r="H45">
        <v>4</v>
      </c>
      <c r="I45" s="11">
        <v>43778</v>
      </c>
      <c r="J45">
        <f>_xlfn.XLOOKUP(Table2[[#This Row],[Nest_box_ID]],Sheet1!A:A,Sheet1!L:L, "No Match")</f>
        <v>1</v>
      </c>
      <c r="K45" s="11">
        <v>43792</v>
      </c>
      <c r="L45">
        <f>_xlfn.XLOOKUP(Table2[[#This Row],[Nest_box_ID]],Sheet1!A:A,Sheet1!K:K, "No Match")</f>
        <v>14</v>
      </c>
      <c r="M45" s="11">
        <v>43787</v>
      </c>
      <c r="N45" s="16">
        <v>0.53975694444444444</v>
      </c>
      <c r="O45">
        <v>7</v>
      </c>
      <c r="P45">
        <v>60</v>
      </c>
      <c r="Q45" t="s">
        <v>320</v>
      </c>
      <c r="R45" t="s">
        <v>254</v>
      </c>
      <c r="S45">
        <f>_xlfn.XLOOKUP(Table2[[#This Row],[Obs_date]],'19-20_niwa_temp_data'!B:B,'19-20_niwa_temp_data'!G:G, "N/A")</f>
        <v>16.814279645586961</v>
      </c>
      <c r="T45">
        <f>_xlfn.XLOOKUP(Table2[[#This Row],[First_egg_lay_date]],'19-20_niwa_temp_data'!B:B,'19-20_niwa_temp_data'!G:G, "No Match")</f>
        <v>16.129166128476697</v>
      </c>
    </row>
    <row r="46" spans="1:20" x14ac:dyDescent="0.35">
      <c r="A46" t="s">
        <v>9</v>
      </c>
      <c r="B46" t="s">
        <v>25</v>
      </c>
      <c r="C46" s="3" t="s">
        <v>114</v>
      </c>
      <c r="D46" t="str">
        <f>_xlfn.XLOOKUP(Table2[[#This Row],[Female_ID ]],'19-20_female_cohort'!I:I,'19-20_female_cohort'!H:H, "No Match")</f>
        <v>2016/2017</v>
      </c>
      <c r="E46">
        <v>3</v>
      </c>
      <c r="F46" s="11">
        <v>43774</v>
      </c>
      <c r="G46">
        <f>_xlfn.XLOOKUP(Table2[[#This Row],[First_egg_lay_date]],'19-20_niwa_temp_data'!B:B,'19-20_niwa_temp_data'!G:G, "No Match")</f>
        <v>16.129166128476697</v>
      </c>
      <c r="H46">
        <v>4</v>
      </c>
      <c r="I46" s="11">
        <v>43778</v>
      </c>
      <c r="J46">
        <f>_xlfn.XLOOKUP(Table2[[#This Row],[Nest_box_ID]],Sheet1!A:A,Sheet1!L:L, "No Match")</f>
        <v>1</v>
      </c>
      <c r="K46" s="11">
        <v>43792</v>
      </c>
      <c r="L46">
        <f>_xlfn.XLOOKUP(Table2[[#This Row],[Nest_box_ID]],Sheet1!A:A,Sheet1!K:K, "No Match")</f>
        <v>14</v>
      </c>
      <c r="M46" s="11">
        <v>43791</v>
      </c>
      <c r="N46" s="16">
        <v>0.47298611111111111</v>
      </c>
      <c r="O46">
        <v>13</v>
      </c>
      <c r="P46">
        <v>65</v>
      </c>
      <c r="Q46" t="s">
        <v>319</v>
      </c>
      <c r="R46">
        <v>350</v>
      </c>
      <c r="S46">
        <f>_xlfn.XLOOKUP(Table2[[#This Row],[Obs_date]],'19-20_niwa_temp_data'!B:B,'19-20_niwa_temp_data'!G:G, "N/A")</f>
        <v>14.404166064024672</v>
      </c>
      <c r="T46">
        <f>_xlfn.XLOOKUP(Table2[[#This Row],[First_egg_lay_date]],'19-20_niwa_temp_data'!B:B,'19-20_niwa_temp_data'!G:G, "No Match")</f>
        <v>16.129166128476697</v>
      </c>
    </row>
    <row r="47" spans="1:20" hidden="1" x14ac:dyDescent="0.35">
      <c r="A47" t="s">
        <v>9</v>
      </c>
      <c r="B47" t="s">
        <v>25</v>
      </c>
      <c r="C47" s="3" t="s">
        <v>114</v>
      </c>
      <c r="D47" t="str">
        <f>_xlfn.XLOOKUP(Table2[[#This Row],[Female_ID ]],'19-20_female_cohort'!I:I,'19-20_female_cohort'!H:H, "No Match")</f>
        <v>2016/2017</v>
      </c>
      <c r="E47">
        <v>3</v>
      </c>
      <c r="F47" s="11">
        <v>43774</v>
      </c>
      <c r="G47">
        <f>_xlfn.XLOOKUP(Table2[[#This Row],[First_egg_lay_date]],'19-20_niwa_temp_data'!B:B,'19-20_niwa_temp_data'!G:G, "No Match")</f>
        <v>16.129166128476697</v>
      </c>
      <c r="H47">
        <v>4</v>
      </c>
      <c r="I47" s="11">
        <v>43778</v>
      </c>
      <c r="J47">
        <f>_xlfn.XLOOKUP(Table2[[#This Row],[Nest_box_ID]],Sheet1!A:A,Sheet1!L:L, "No Match")</f>
        <v>1</v>
      </c>
      <c r="K47" s="11">
        <v>43792</v>
      </c>
      <c r="L47">
        <f>_xlfn.XLOOKUP(Table2[[#This Row],[Nest_box_ID]],Sheet1!A:A,Sheet1!K:K, "No Match")</f>
        <v>14</v>
      </c>
      <c r="M47" s="11">
        <v>43791</v>
      </c>
      <c r="N47" s="16">
        <v>0.47703703703703704</v>
      </c>
      <c r="O47">
        <v>13</v>
      </c>
      <c r="P47">
        <v>65</v>
      </c>
      <c r="Q47" t="s">
        <v>320</v>
      </c>
      <c r="R47">
        <v>544</v>
      </c>
      <c r="S47">
        <f>_xlfn.XLOOKUP(Table2[[#This Row],[Obs_date]],'19-20_niwa_temp_data'!B:B,'19-20_niwa_temp_data'!G:G, "N/A")</f>
        <v>14.404166064024672</v>
      </c>
      <c r="T47">
        <f>_xlfn.XLOOKUP(Table2[[#This Row],[First_egg_lay_date]],'19-20_niwa_temp_data'!B:B,'19-20_niwa_temp_data'!G:G, "No Match")</f>
        <v>16.129166128476697</v>
      </c>
    </row>
    <row r="48" spans="1:20" x14ac:dyDescent="0.35">
      <c r="A48" t="s">
        <v>9</v>
      </c>
      <c r="B48" t="s">
        <v>25</v>
      </c>
      <c r="C48" s="3" t="s">
        <v>114</v>
      </c>
      <c r="D48" t="str">
        <f>_xlfn.XLOOKUP(Table2[[#This Row],[Female_ID ]],'19-20_female_cohort'!I:I,'19-20_female_cohort'!H:H, "No Match")</f>
        <v>2016/2017</v>
      </c>
      <c r="E48">
        <v>3</v>
      </c>
      <c r="F48" s="11">
        <v>43774</v>
      </c>
      <c r="G48">
        <f>_xlfn.XLOOKUP(Table2[[#This Row],[First_egg_lay_date]],'19-20_niwa_temp_data'!B:B,'19-20_niwa_temp_data'!G:G, "No Match")</f>
        <v>16.129166128476697</v>
      </c>
      <c r="H48">
        <v>4</v>
      </c>
      <c r="I48" s="11">
        <v>43778</v>
      </c>
      <c r="J48">
        <f>_xlfn.XLOOKUP(Table2[[#This Row],[Nest_box_ID]],Sheet1!A:A,Sheet1!L:L, "No Match")</f>
        <v>1</v>
      </c>
      <c r="K48" s="11">
        <v>43792</v>
      </c>
      <c r="L48">
        <f>_xlfn.XLOOKUP(Table2[[#This Row],[Nest_box_ID]],Sheet1!A:A,Sheet1!K:K, "No Match")</f>
        <v>14</v>
      </c>
      <c r="M48" s="11">
        <v>43791</v>
      </c>
      <c r="N48" s="16">
        <v>0.48333333333333334</v>
      </c>
      <c r="O48">
        <v>13</v>
      </c>
      <c r="P48">
        <v>65</v>
      </c>
      <c r="Q48" t="s">
        <v>319</v>
      </c>
      <c r="R48">
        <v>284</v>
      </c>
      <c r="S48">
        <f>_xlfn.XLOOKUP(Table2[[#This Row],[Obs_date]],'19-20_niwa_temp_data'!B:B,'19-20_niwa_temp_data'!G:G, "N/A")</f>
        <v>14.404166064024672</v>
      </c>
      <c r="T48">
        <f>_xlfn.XLOOKUP(Table2[[#This Row],[First_egg_lay_date]],'19-20_niwa_temp_data'!B:B,'19-20_niwa_temp_data'!G:G, "No Match")</f>
        <v>16.129166128476697</v>
      </c>
    </row>
    <row r="49" spans="1:20" hidden="1" x14ac:dyDescent="0.35">
      <c r="A49" t="s">
        <v>9</v>
      </c>
      <c r="B49" t="s">
        <v>25</v>
      </c>
      <c r="C49" s="3" t="s">
        <v>114</v>
      </c>
      <c r="D49" t="str">
        <f>_xlfn.XLOOKUP(Table2[[#This Row],[Female_ID ]],'19-20_female_cohort'!I:I,'19-20_female_cohort'!H:H, "No Match")</f>
        <v>2016/2017</v>
      </c>
      <c r="E49">
        <v>3</v>
      </c>
      <c r="F49" s="11">
        <v>43774</v>
      </c>
      <c r="G49">
        <f>_xlfn.XLOOKUP(Table2[[#This Row],[First_egg_lay_date]],'19-20_niwa_temp_data'!B:B,'19-20_niwa_temp_data'!G:G, "No Match")</f>
        <v>16.129166128476697</v>
      </c>
      <c r="H49">
        <v>4</v>
      </c>
      <c r="I49" s="11">
        <v>43778</v>
      </c>
      <c r="J49">
        <f>_xlfn.XLOOKUP(Table2[[#This Row],[Nest_box_ID]],Sheet1!A:A,Sheet1!L:L, "No Match")</f>
        <v>1</v>
      </c>
      <c r="K49" s="11">
        <v>43792</v>
      </c>
      <c r="L49">
        <f>_xlfn.XLOOKUP(Table2[[#This Row],[Nest_box_ID]],Sheet1!A:A,Sheet1!K:K, "No Match")</f>
        <v>14</v>
      </c>
      <c r="M49" s="11">
        <v>43791</v>
      </c>
      <c r="N49" s="16">
        <v>0.48662037037037037</v>
      </c>
      <c r="O49">
        <v>13</v>
      </c>
      <c r="P49">
        <v>65</v>
      </c>
      <c r="Q49" t="s">
        <v>320</v>
      </c>
      <c r="R49">
        <v>293</v>
      </c>
      <c r="S49">
        <f>_xlfn.XLOOKUP(Table2[[#This Row],[Obs_date]],'19-20_niwa_temp_data'!B:B,'19-20_niwa_temp_data'!G:G, "N/A")</f>
        <v>14.404166064024672</v>
      </c>
      <c r="T49">
        <f>_xlfn.XLOOKUP(Table2[[#This Row],[First_egg_lay_date]],'19-20_niwa_temp_data'!B:B,'19-20_niwa_temp_data'!G:G, "No Match")</f>
        <v>16.129166128476697</v>
      </c>
    </row>
    <row r="50" spans="1:20" x14ac:dyDescent="0.35">
      <c r="A50" t="s">
        <v>9</v>
      </c>
      <c r="B50" t="s">
        <v>25</v>
      </c>
      <c r="C50" s="3" t="s">
        <v>114</v>
      </c>
      <c r="D50" t="str">
        <f>_xlfn.XLOOKUP(Table2[[#This Row],[Female_ID ]],'19-20_female_cohort'!I:I,'19-20_female_cohort'!H:H, "No Match")</f>
        <v>2016/2017</v>
      </c>
      <c r="E50">
        <v>3</v>
      </c>
      <c r="F50" s="11">
        <v>43774</v>
      </c>
      <c r="G50">
        <f>_xlfn.XLOOKUP(Table2[[#This Row],[First_egg_lay_date]],'19-20_niwa_temp_data'!B:B,'19-20_niwa_temp_data'!G:G, "No Match")</f>
        <v>16.129166128476697</v>
      </c>
      <c r="H50">
        <v>4</v>
      </c>
      <c r="I50" s="11">
        <v>43778</v>
      </c>
      <c r="J50">
        <f>_xlfn.XLOOKUP(Table2[[#This Row],[Nest_box_ID]],Sheet1!A:A,Sheet1!L:L, "No Match")</f>
        <v>1</v>
      </c>
      <c r="K50" s="11">
        <v>43792</v>
      </c>
      <c r="L50">
        <f>_xlfn.XLOOKUP(Table2[[#This Row],[Nest_box_ID]],Sheet1!A:A,Sheet1!K:K, "No Match")</f>
        <v>14</v>
      </c>
      <c r="M50" s="11">
        <v>43791</v>
      </c>
      <c r="N50" s="16">
        <v>0.49001157407407409</v>
      </c>
      <c r="O50">
        <v>13</v>
      </c>
      <c r="P50">
        <v>65</v>
      </c>
      <c r="Q50" t="s">
        <v>319</v>
      </c>
      <c r="R50">
        <v>380</v>
      </c>
      <c r="S50">
        <f>_xlfn.XLOOKUP(Table2[[#This Row],[Obs_date]],'19-20_niwa_temp_data'!B:B,'19-20_niwa_temp_data'!G:G, "N/A")</f>
        <v>14.404166064024672</v>
      </c>
      <c r="T50">
        <f>_xlfn.XLOOKUP(Table2[[#This Row],[First_egg_lay_date]],'19-20_niwa_temp_data'!B:B,'19-20_niwa_temp_data'!G:G, "No Match")</f>
        <v>16.129166128476697</v>
      </c>
    </row>
    <row r="51" spans="1:20" hidden="1" x14ac:dyDescent="0.35">
      <c r="A51" t="s">
        <v>9</v>
      </c>
      <c r="B51" t="s">
        <v>25</v>
      </c>
      <c r="C51" s="3" t="s">
        <v>114</v>
      </c>
      <c r="D51" t="str">
        <f>_xlfn.XLOOKUP(Table2[[#This Row],[Female_ID ]],'19-20_female_cohort'!I:I,'19-20_female_cohort'!H:H, "No Match")</f>
        <v>2016/2017</v>
      </c>
      <c r="E51">
        <v>3</v>
      </c>
      <c r="F51" s="11">
        <v>43774</v>
      </c>
      <c r="G51">
        <f>_xlfn.XLOOKUP(Table2[[#This Row],[First_egg_lay_date]],'19-20_niwa_temp_data'!B:B,'19-20_niwa_temp_data'!G:G, "No Match")</f>
        <v>16.129166128476697</v>
      </c>
      <c r="H51">
        <v>4</v>
      </c>
      <c r="I51" s="11">
        <v>43778</v>
      </c>
      <c r="J51">
        <f>_xlfn.XLOOKUP(Table2[[#This Row],[Nest_box_ID]],Sheet1!A:A,Sheet1!L:L, "No Match")</f>
        <v>1</v>
      </c>
      <c r="K51" s="11">
        <v>43792</v>
      </c>
      <c r="L51">
        <f>_xlfn.XLOOKUP(Table2[[#This Row],[Nest_box_ID]],Sheet1!A:A,Sheet1!K:K, "No Match")</f>
        <v>14</v>
      </c>
      <c r="M51" s="11">
        <v>43791</v>
      </c>
      <c r="N51" s="16">
        <v>0.49440972222222224</v>
      </c>
      <c r="O51">
        <v>13</v>
      </c>
      <c r="P51">
        <v>65</v>
      </c>
      <c r="Q51" t="s">
        <v>320</v>
      </c>
      <c r="R51">
        <v>878</v>
      </c>
      <c r="S51">
        <f>_xlfn.XLOOKUP(Table2[[#This Row],[Obs_date]],'19-20_niwa_temp_data'!B:B,'19-20_niwa_temp_data'!G:G, "N/A")</f>
        <v>14.404166064024672</v>
      </c>
      <c r="T51">
        <f>_xlfn.XLOOKUP(Table2[[#This Row],[First_egg_lay_date]],'19-20_niwa_temp_data'!B:B,'19-20_niwa_temp_data'!G:G, "No Match")</f>
        <v>16.129166128476697</v>
      </c>
    </row>
    <row r="52" spans="1:20" x14ac:dyDescent="0.35">
      <c r="A52" t="s">
        <v>9</v>
      </c>
      <c r="B52" t="s">
        <v>25</v>
      </c>
      <c r="C52" s="3" t="s">
        <v>114</v>
      </c>
      <c r="D52" t="str">
        <f>_xlfn.XLOOKUP(Table2[[#This Row],[Female_ID ]],'19-20_female_cohort'!I:I,'19-20_female_cohort'!H:H, "No Match")</f>
        <v>2016/2017</v>
      </c>
      <c r="E52">
        <v>3</v>
      </c>
      <c r="F52" s="11">
        <v>43774</v>
      </c>
      <c r="G52">
        <f>_xlfn.XLOOKUP(Table2[[#This Row],[First_egg_lay_date]],'19-20_niwa_temp_data'!B:B,'19-20_niwa_temp_data'!G:G, "No Match")</f>
        <v>16.129166128476697</v>
      </c>
      <c r="H52">
        <v>4</v>
      </c>
      <c r="I52" s="11">
        <v>43778</v>
      </c>
      <c r="J52">
        <f>_xlfn.XLOOKUP(Table2[[#This Row],[Nest_box_ID]],Sheet1!A:A,Sheet1!L:L, "No Match")</f>
        <v>1</v>
      </c>
      <c r="K52" s="11">
        <v>43792</v>
      </c>
      <c r="L52">
        <f>_xlfn.XLOOKUP(Table2[[#This Row],[Nest_box_ID]],Sheet1!A:A,Sheet1!K:K, "No Match")</f>
        <v>14</v>
      </c>
      <c r="M52" s="11">
        <v>43791</v>
      </c>
      <c r="N52" s="16">
        <v>0.50457175925925923</v>
      </c>
      <c r="O52">
        <v>13</v>
      </c>
      <c r="P52">
        <v>65</v>
      </c>
      <c r="Q52" t="s">
        <v>319</v>
      </c>
      <c r="R52">
        <v>221</v>
      </c>
      <c r="S52">
        <f>_xlfn.XLOOKUP(Table2[[#This Row],[Obs_date]],'19-20_niwa_temp_data'!B:B,'19-20_niwa_temp_data'!G:G, "N/A")</f>
        <v>14.404166064024672</v>
      </c>
      <c r="T52">
        <f>_xlfn.XLOOKUP(Table2[[#This Row],[First_egg_lay_date]],'19-20_niwa_temp_data'!B:B,'19-20_niwa_temp_data'!G:G, "No Match")</f>
        <v>16.129166128476697</v>
      </c>
    </row>
    <row r="53" spans="1:20" hidden="1" x14ac:dyDescent="0.35">
      <c r="A53" t="s">
        <v>9</v>
      </c>
      <c r="B53" t="s">
        <v>25</v>
      </c>
      <c r="C53" s="3" t="s">
        <v>114</v>
      </c>
      <c r="D53" t="str">
        <f>_xlfn.XLOOKUP(Table2[[#This Row],[Female_ID ]],'19-20_female_cohort'!I:I,'19-20_female_cohort'!H:H, "No Match")</f>
        <v>2016/2017</v>
      </c>
      <c r="E53">
        <v>3</v>
      </c>
      <c r="F53" s="11">
        <v>43774</v>
      </c>
      <c r="G53">
        <f>_xlfn.XLOOKUP(Table2[[#This Row],[First_egg_lay_date]],'19-20_niwa_temp_data'!B:B,'19-20_niwa_temp_data'!G:G, "No Match")</f>
        <v>16.129166128476697</v>
      </c>
      <c r="H53">
        <v>4</v>
      </c>
      <c r="I53" s="11">
        <v>43778</v>
      </c>
      <c r="J53">
        <f>_xlfn.XLOOKUP(Table2[[#This Row],[Nest_box_ID]],Sheet1!A:A,Sheet1!L:L, "No Match")</f>
        <v>1</v>
      </c>
      <c r="K53" s="11">
        <v>43792</v>
      </c>
      <c r="L53">
        <f>_xlfn.XLOOKUP(Table2[[#This Row],[Nest_box_ID]],Sheet1!A:A,Sheet1!K:K, "No Match")</f>
        <v>14</v>
      </c>
      <c r="M53" s="11">
        <v>43791</v>
      </c>
      <c r="N53" s="16">
        <v>0.5071296296296296</v>
      </c>
      <c r="O53">
        <v>13</v>
      </c>
      <c r="P53">
        <v>65</v>
      </c>
      <c r="Q53" t="s">
        <v>320</v>
      </c>
      <c r="R53" t="s">
        <v>254</v>
      </c>
      <c r="S53">
        <f>_xlfn.XLOOKUP(Table2[[#This Row],[Obs_date]],'19-20_niwa_temp_data'!B:B,'19-20_niwa_temp_data'!G:G, "N/A")</f>
        <v>14.404166064024672</v>
      </c>
      <c r="T53">
        <f>_xlfn.XLOOKUP(Table2[[#This Row],[First_egg_lay_date]],'19-20_niwa_temp_data'!B:B,'19-20_niwa_temp_data'!G:G, "No Match")</f>
        <v>16.129166128476697</v>
      </c>
    </row>
    <row r="54" spans="1:20" hidden="1" x14ac:dyDescent="0.35">
      <c r="A54" t="s">
        <v>9</v>
      </c>
      <c r="B54" t="s">
        <v>16</v>
      </c>
      <c r="C54" s="3" t="s">
        <v>105</v>
      </c>
      <c r="D54" t="str">
        <f>_xlfn.XLOOKUP(Table2[[#This Row],[Female_ID ]],'19-20_female_cohort'!I:I,'19-20_female_cohort'!H:H, "No Match")</f>
        <v>2018/2019</v>
      </c>
      <c r="E54">
        <v>1</v>
      </c>
      <c r="F54" s="11">
        <v>43770</v>
      </c>
      <c r="G54">
        <f>_xlfn.XLOOKUP(Table2[[#This Row],[First_egg_lay_date]],'19-20_niwa_temp_data'!B:B,'19-20_niwa_temp_data'!G:G, "No Match")</f>
        <v>14.032106042928838</v>
      </c>
      <c r="H54">
        <v>4</v>
      </c>
      <c r="I54" s="11">
        <v>43773</v>
      </c>
      <c r="J54">
        <f>_xlfn.XLOOKUP(Table2[[#This Row],[Nest_box_ID]],Sheet1!A:A,Sheet1!L:L, "No Match")</f>
        <v>0</v>
      </c>
      <c r="K54" s="11">
        <v>43788</v>
      </c>
      <c r="L54">
        <f>_xlfn.XLOOKUP(Table2[[#This Row],[Nest_box_ID]],Sheet1!A:A,Sheet1!K:K, "No Match")</f>
        <v>15</v>
      </c>
      <c r="M54" s="11">
        <v>43773</v>
      </c>
      <c r="N54" s="16">
        <v>0.57986111111111116</v>
      </c>
      <c r="O54">
        <v>2</v>
      </c>
      <c r="P54">
        <v>24.466666669999999</v>
      </c>
      <c r="Q54" t="s">
        <v>320</v>
      </c>
      <c r="R54">
        <v>1140</v>
      </c>
      <c r="S54">
        <f>_xlfn.XLOOKUP(Table2[[#This Row],[Obs_date]],'19-20_niwa_temp_data'!B:B,'19-20_niwa_temp_data'!G:G, "N/A")</f>
        <v>15.4</v>
      </c>
      <c r="T54">
        <f>_xlfn.XLOOKUP(Table2[[#This Row],[First_egg_lay_date]],'19-20_niwa_temp_data'!B:B,'19-20_niwa_temp_data'!G:G, "No Match")</f>
        <v>14.032106042928838</v>
      </c>
    </row>
    <row r="55" spans="1:20" x14ac:dyDescent="0.35">
      <c r="A55" t="s">
        <v>9</v>
      </c>
      <c r="B55" t="s">
        <v>16</v>
      </c>
      <c r="C55" s="3" t="s">
        <v>105</v>
      </c>
      <c r="D55" t="str">
        <f>_xlfn.XLOOKUP(Table2[[#This Row],[Female_ID ]],'19-20_female_cohort'!I:I,'19-20_female_cohort'!H:H, "No Match")</f>
        <v>2018/2019</v>
      </c>
      <c r="E55">
        <v>1</v>
      </c>
      <c r="F55" s="11">
        <v>43770</v>
      </c>
      <c r="G55">
        <f>_xlfn.XLOOKUP(Table2[[#This Row],[First_egg_lay_date]],'19-20_niwa_temp_data'!B:B,'19-20_niwa_temp_data'!G:G, "No Match")</f>
        <v>14.032106042928838</v>
      </c>
      <c r="H55">
        <v>4</v>
      </c>
      <c r="I55" s="11">
        <v>43773</v>
      </c>
      <c r="J55">
        <f>_xlfn.XLOOKUP(Table2[[#This Row],[Nest_box_ID]],Sheet1!A:A,Sheet1!L:L, "No Match")</f>
        <v>0</v>
      </c>
      <c r="K55" s="11">
        <v>43788</v>
      </c>
      <c r="L55">
        <f>_xlfn.XLOOKUP(Table2[[#This Row],[Nest_box_ID]],Sheet1!A:A,Sheet1!K:K, "No Match")</f>
        <v>15</v>
      </c>
      <c r="M55" s="11">
        <v>43773</v>
      </c>
      <c r="N55" s="16">
        <v>0.59305555555555556</v>
      </c>
      <c r="O55">
        <v>2</v>
      </c>
      <c r="P55">
        <v>24.466666669999999</v>
      </c>
      <c r="Q55" t="s">
        <v>319</v>
      </c>
      <c r="R55">
        <v>120</v>
      </c>
      <c r="S55">
        <f>_xlfn.XLOOKUP(Table2[[#This Row],[Obs_date]],'19-20_niwa_temp_data'!B:B,'19-20_niwa_temp_data'!G:G, "N/A")</f>
        <v>15.4</v>
      </c>
      <c r="T55">
        <f>_xlfn.XLOOKUP(Table2[[#This Row],[First_egg_lay_date]],'19-20_niwa_temp_data'!B:B,'19-20_niwa_temp_data'!G:G, "No Match")</f>
        <v>14.032106042928838</v>
      </c>
    </row>
    <row r="56" spans="1:20" hidden="1" x14ac:dyDescent="0.35">
      <c r="A56" t="s">
        <v>9</v>
      </c>
      <c r="B56" t="s">
        <v>16</v>
      </c>
      <c r="C56" s="3" t="s">
        <v>105</v>
      </c>
      <c r="D56" t="str">
        <f>_xlfn.XLOOKUP(Table2[[#This Row],[Female_ID ]],'19-20_female_cohort'!I:I,'19-20_female_cohort'!H:H, "No Match")</f>
        <v>2018/2019</v>
      </c>
      <c r="E56">
        <v>1</v>
      </c>
      <c r="F56" s="11">
        <v>43770</v>
      </c>
      <c r="G56">
        <f>_xlfn.XLOOKUP(Table2[[#This Row],[First_egg_lay_date]],'19-20_niwa_temp_data'!B:B,'19-20_niwa_temp_data'!G:G, "No Match")</f>
        <v>14.032106042928838</v>
      </c>
      <c r="H56">
        <v>4</v>
      </c>
      <c r="I56" s="11">
        <v>43773</v>
      </c>
      <c r="J56">
        <f>_xlfn.XLOOKUP(Table2[[#This Row],[Nest_box_ID]],Sheet1!A:A,Sheet1!L:L, "No Match")</f>
        <v>0</v>
      </c>
      <c r="K56" s="11">
        <v>43788</v>
      </c>
      <c r="L56">
        <f>_xlfn.XLOOKUP(Table2[[#This Row],[Nest_box_ID]],Sheet1!A:A,Sheet1!K:K, "No Match")</f>
        <v>15</v>
      </c>
      <c r="M56" s="11">
        <v>43773</v>
      </c>
      <c r="N56" s="16">
        <v>0.59444444444444444</v>
      </c>
      <c r="O56">
        <v>2</v>
      </c>
      <c r="P56">
        <v>24.466666669999999</v>
      </c>
      <c r="Q56" t="s">
        <v>320</v>
      </c>
      <c r="R56">
        <v>160</v>
      </c>
      <c r="S56">
        <f>_xlfn.XLOOKUP(Table2[[#This Row],[Obs_date]],'19-20_niwa_temp_data'!B:B,'19-20_niwa_temp_data'!G:G, "N/A")</f>
        <v>15.4</v>
      </c>
      <c r="T56">
        <f>_xlfn.XLOOKUP(Table2[[#This Row],[First_egg_lay_date]],'19-20_niwa_temp_data'!B:B,'19-20_niwa_temp_data'!G:G, "No Match")</f>
        <v>14.032106042928838</v>
      </c>
    </row>
    <row r="57" spans="1:20" x14ac:dyDescent="0.35">
      <c r="A57" t="s">
        <v>9</v>
      </c>
      <c r="B57" t="s">
        <v>16</v>
      </c>
      <c r="C57" s="3" t="s">
        <v>105</v>
      </c>
      <c r="D57" t="str">
        <f>_xlfn.XLOOKUP(Table2[[#This Row],[Female_ID ]],'19-20_female_cohort'!I:I,'19-20_female_cohort'!H:H, "No Match")</f>
        <v>2018/2019</v>
      </c>
      <c r="E57">
        <v>1</v>
      </c>
      <c r="F57" s="11">
        <v>43770</v>
      </c>
      <c r="G57">
        <f>_xlfn.XLOOKUP(Table2[[#This Row],[First_egg_lay_date]],'19-20_niwa_temp_data'!B:B,'19-20_niwa_temp_data'!G:G, "No Match")</f>
        <v>14.032106042928838</v>
      </c>
      <c r="H57">
        <v>4</v>
      </c>
      <c r="I57" s="11">
        <v>43773</v>
      </c>
      <c r="J57">
        <f>_xlfn.XLOOKUP(Table2[[#This Row],[Nest_box_ID]],Sheet1!A:A,Sheet1!L:L, "No Match")</f>
        <v>0</v>
      </c>
      <c r="K57" s="11">
        <v>43788</v>
      </c>
      <c r="L57">
        <f>_xlfn.XLOOKUP(Table2[[#This Row],[Nest_box_ID]],Sheet1!A:A,Sheet1!K:K, "No Match")</f>
        <v>15</v>
      </c>
      <c r="M57" s="11">
        <v>43773</v>
      </c>
      <c r="N57" s="16">
        <v>0.59629629629629632</v>
      </c>
      <c r="O57">
        <v>2</v>
      </c>
      <c r="P57">
        <v>24.466666669999999</v>
      </c>
      <c r="Q57" t="s">
        <v>319</v>
      </c>
      <c r="R57">
        <v>48</v>
      </c>
      <c r="S57">
        <f>_xlfn.XLOOKUP(Table2[[#This Row],[Obs_date]],'19-20_niwa_temp_data'!B:B,'19-20_niwa_temp_data'!G:G, "N/A")</f>
        <v>15.4</v>
      </c>
      <c r="T57">
        <f>_xlfn.XLOOKUP(Table2[[#This Row],[First_egg_lay_date]],'19-20_niwa_temp_data'!B:B,'19-20_niwa_temp_data'!G:G, "No Match")</f>
        <v>14.032106042928838</v>
      </c>
    </row>
    <row r="58" spans="1:20" hidden="1" x14ac:dyDescent="0.35">
      <c r="A58" t="s">
        <v>9</v>
      </c>
      <c r="B58" t="s">
        <v>16</v>
      </c>
      <c r="C58" s="3" t="s">
        <v>105</v>
      </c>
      <c r="D58" t="str">
        <f>_xlfn.XLOOKUP(Table2[[#This Row],[Female_ID ]],'19-20_female_cohort'!I:I,'19-20_female_cohort'!H:H, "No Match")</f>
        <v>2018/2019</v>
      </c>
      <c r="E58">
        <v>1</v>
      </c>
      <c r="F58" s="11">
        <v>43770</v>
      </c>
      <c r="G58">
        <f>_xlfn.XLOOKUP(Table2[[#This Row],[First_egg_lay_date]],'19-20_niwa_temp_data'!B:B,'19-20_niwa_temp_data'!G:G, "No Match")</f>
        <v>14.032106042928838</v>
      </c>
      <c r="H58">
        <v>4</v>
      </c>
      <c r="I58" s="11">
        <v>43773</v>
      </c>
      <c r="J58">
        <f>_xlfn.XLOOKUP(Table2[[#This Row],[Nest_box_ID]],Sheet1!A:A,Sheet1!L:L, "No Match")</f>
        <v>0</v>
      </c>
      <c r="K58" s="11">
        <v>43788</v>
      </c>
      <c r="L58">
        <f>_xlfn.XLOOKUP(Table2[[#This Row],[Nest_box_ID]],Sheet1!A:A,Sheet1!K:K, "No Match")</f>
        <v>15</v>
      </c>
      <c r="M58" s="11">
        <v>43773</v>
      </c>
      <c r="N58" s="16">
        <v>0.59685185185185186</v>
      </c>
      <c r="O58">
        <v>2</v>
      </c>
      <c r="P58">
        <v>24.466666669999999</v>
      </c>
      <c r="Q58" t="s">
        <v>320</v>
      </c>
      <c r="R58" t="s">
        <v>254</v>
      </c>
      <c r="S58">
        <f>_xlfn.XLOOKUP(Table2[[#This Row],[Obs_date]],'19-20_niwa_temp_data'!B:B,'19-20_niwa_temp_data'!G:G, "N/A")</f>
        <v>15.4</v>
      </c>
      <c r="T58">
        <f>_xlfn.XLOOKUP(Table2[[#This Row],[First_egg_lay_date]],'19-20_niwa_temp_data'!B:B,'19-20_niwa_temp_data'!G:G, "No Match")</f>
        <v>14.032106042928838</v>
      </c>
    </row>
    <row r="59" spans="1:20" x14ac:dyDescent="0.35">
      <c r="A59" t="s">
        <v>9</v>
      </c>
      <c r="B59" t="s">
        <v>16</v>
      </c>
      <c r="C59" s="3" t="s">
        <v>105</v>
      </c>
      <c r="D59" t="str">
        <f>_xlfn.XLOOKUP(Table2[[#This Row],[Female_ID ]],'19-20_female_cohort'!I:I,'19-20_female_cohort'!H:H, "No Match")</f>
        <v>2018/2019</v>
      </c>
      <c r="E59">
        <v>1</v>
      </c>
      <c r="F59" s="11">
        <v>43770</v>
      </c>
      <c r="G59">
        <f>_xlfn.XLOOKUP(Table2[[#This Row],[First_egg_lay_date]],'19-20_niwa_temp_data'!B:B,'19-20_niwa_temp_data'!G:G, "No Match")</f>
        <v>14.032106042928838</v>
      </c>
      <c r="H59">
        <v>4</v>
      </c>
      <c r="I59" s="11">
        <v>43773</v>
      </c>
      <c r="J59">
        <f>_xlfn.XLOOKUP(Table2[[#This Row],[Nest_box_ID]],Sheet1!A:A,Sheet1!L:L, "No Match")</f>
        <v>0</v>
      </c>
      <c r="K59" s="11">
        <v>43788</v>
      </c>
      <c r="L59">
        <f>_xlfn.XLOOKUP(Table2[[#This Row],[Nest_box_ID]],Sheet1!A:A,Sheet1!K:K, "No Match")</f>
        <v>15</v>
      </c>
      <c r="M59" s="11">
        <v>43774</v>
      </c>
      <c r="N59" s="16">
        <v>0.58078703703703705</v>
      </c>
      <c r="O59">
        <v>3</v>
      </c>
      <c r="P59">
        <v>113.83333330000001</v>
      </c>
      <c r="Q59" t="s">
        <v>319</v>
      </c>
      <c r="R59">
        <v>370</v>
      </c>
      <c r="S59">
        <f>_xlfn.XLOOKUP(Table2[[#This Row],[Obs_date]],'19-20_niwa_temp_data'!B:B,'19-20_niwa_temp_data'!G:G, "N/A")</f>
        <v>16.129166128476697</v>
      </c>
      <c r="T59">
        <f>_xlfn.XLOOKUP(Table2[[#This Row],[First_egg_lay_date]],'19-20_niwa_temp_data'!B:B,'19-20_niwa_temp_data'!G:G, "No Match")</f>
        <v>14.032106042928838</v>
      </c>
    </row>
    <row r="60" spans="1:20" hidden="1" x14ac:dyDescent="0.35">
      <c r="A60" t="s">
        <v>9</v>
      </c>
      <c r="B60" t="s">
        <v>16</v>
      </c>
      <c r="C60" s="3" t="s">
        <v>105</v>
      </c>
      <c r="D60" t="str">
        <f>_xlfn.XLOOKUP(Table2[[#This Row],[Female_ID ]],'19-20_female_cohort'!I:I,'19-20_female_cohort'!H:H, "No Match")</f>
        <v>2018/2019</v>
      </c>
      <c r="E60">
        <v>1</v>
      </c>
      <c r="F60" s="11">
        <v>43770</v>
      </c>
      <c r="G60">
        <f>_xlfn.XLOOKUP(Table2[[#This Row],[First_egg_lay_date]],'19-20_niwa_temp_data'!B:B,'19-20_niwa_temp_data'!G:G, "No Match")</f>
        <v>14.032106042928838</v>
      </c>
      <c r="H60">
        <v>4</v>
      </c>
      <c r="I60" s="11">
        <v>43773</v>
      </c>
      <c r="J60">
        <f>_xlfn.XLOOKUP(Table2[[#This Row],[Nest_box_ID]],Sheet1!A:A,Sheet1!L:L, "No Match")</f>
        <v>0</v>
      </c>
      <c r="K60" s="11">
        <v>43788</v>
      </c>
      <c r="L60">
        <f>_xlfn.XLOOKUP(Table2[[#This Row],[Nest_box_ID]],Sheet1!A:A,Sheet1!K:K, "No Match")</f>
        <v>15</v>
      </c>
      <c r="M60" s="11">
        <v>43774</v>
      </c>
      <c r="N60" s="16">
        <v>0.58506944444444442</v>
      </c>
      <c r="O60">
        <v>3</v>
      </c>
      <c r="P60">
        <v>113.83333330000001</v>
      </c>
      <c r="Q60" t="s">
        <v>320</v>
      </c>
      <c r="R60">
        <v>580</v>
      </c>
      <c r="S60">
        <f>_xlfn.XLOOKUP(Table2[[#This Row],[Obs_date]],'19-20_niwa_temp_data'!B:B,'19-20_niwa_temp_data'!G:G, "N/A")</f>
        <v>16.129166128476697</v>
      </c>
      <c r="T60">
        <f>_xlfn.XLOOKUP(Table2[[#This Row],[First_egg_lay_date]],'19-20_niwa_temp_data'!B:B,'19-20_niwa_temp_data'!G:G, "No Match")</f>
        <v>14.032106042928838</v>
      </c>
    </row>
    <row r="61" spans="1:20" x14ac:dyDescent="0.35">
      <c r="A61" t="s">
        <v>9</v>
      </c>
      <c r="B61" t="s">
        <v>16</v>
      </c>
      <c r="C61" s="3" t="s">
        <v>105</v>
      </c>
      <c r="D61" t="str">
        <f>_xlfn.XLOOKUP(Table2[[#This Row],[Female_ID ]],'19-20_female_cohort'!I:I,'19-20_female_cohort'!H:H, "No Match")</f>
        <v>2018/2019</v>
      </c>
      <c r="E61">
        <v>1</v>
      </c>
      <c r="F61" s="11">
        <v>43770</v>
      </c>
      <c r="G61">
        <f>_xlfn.XLOOKUP(Table2[[#This Row],[First_egg_lay_date]],'19-20_niwa_temp_data'!B:B,'19-20_niwa_temp_data'!G:G, "No Match")</f>
        <v>14.032106042928838</v>
      </c>
      <c r="H61">
        <v>4</v>
      </c>
      <c r="I61" s="11">
        <v>43773</v>
      </c>
      <c r="J61">
        <f>_xlfn.XLOOKUP(Table2[[#This Row],[Nest_box_ID]],Sheet1!A:A,Sheet1!L:L, "No Match")</f>
        <v>0</v>
      </c>
      <c r="K61" s="11">
        <v>43788</v>
      </c>
      <c r="L61">
        <f>_xlfn.XLOOKUP(Table2[[#This Row],[Nest_box_ID]],Sheet1!A:A,Sheet1!K:K, "No Match")</f>
        <v>15</v>
      </c>
      <c r="M61" s="11">
        <v>43774</v>
      </c>
      <c r="N61" s="16">
        <v>0.5917824074074074</v>
      </c>
      <c r="O61">
        <v>3</v>
      </c>
      <c r="P61">
        <v>113.83333330000001</v>
      </c>
      <c r="Q61" t="s">
        <v>319</v>
      </c>
      <c r="R61">
        <v>228</v>
      </c>
      <c r="S61">
        <f>_xlfn.XLOOKUP(Table2[[#This Row],[Obs_date]],'19-20_niwa_temp_data'!B:B,'19-20_niwa_temp_data'!G:G, "N/A")</f>
        <v>16.129166128476697</v>
      </c>
      <c r="T61">
        <f>_xlfn.XLOOKUP(Table2[[#This Row],[First_egg_lay_date]],'19-20_niwa_temp_data'!B:B,'19-20_niwa_temp_data'!G:G, "No Match")</f>
        <v>14.032106042928838</v>
      </c>
    </row>
    <row r="62" spans="1:20" hidden="1" x14ac:dyDescent="0.35">
      <c r="A62" t="s">
        <v>9</v>
      </c>
      <c r="B62" t="s">
        <v>16</v>
      </c>
      <c r="C62" s="3" t="s">
        <v>105</v>
      </c>
      <c r="D62" t="str">
        <f>_xlfn.XLOOKUP(Table2[[#This Row],[Female_ID ]],'19-20_female_cohort'!I:I,'19-20_female_cohort'!H:H, "No Match")</f>
        <v>2018/2019</v>
      </c>
      <c r="E62">
        <v>1</v>
      </c>
      <c r="F62" s="11">
        <v>43770</v>
      </c>
      <c r="G62">
        <f>_xlfn.XLOOKUP(Table2[[#This Row],[First_egg_lay_date]],'19-20_niwa_temp_data'!B:B,'19-20_niwa_temp_data'!G:G, "No Match")</f>
        <v>14.032106042928838</v>
      </c>
      <c r="H62">
        <v>4</v>
      </c>
      <c r="I62" s="11">
        <v>43773</v>
      </c>
      <c r="J62">
        <f>_xlfn.XLOOKUP(Table2[[#This Row],[Nest_box_ID]],Sheet1!A:A,Sheet1!L:L, "No Match")</f>
        <v>0</v>
      </c>
      <c r="K62" s="11">
        <v>43788</v>
      </c>
      <c r="L62">
        <f>_xlfn.XLOOKUP(Table2[[#This Row],[Nest_box_ID]],Sheet1!A:A,Sheet1!K:K, "No Match")</f>
        <v>15</v>
      </c>
      <c r="M62" s="11">
        <v>43774</v>
      </c>
      <c r="N62" s="16">
        <v>0.59442129629629625</v>
      </c>
      <c r="O62">
        <v>3</v>
      </c>
      <c r="P62">
        <v>113.83333330000001</v>
      </c>
      <c r="Q62" t="s">
        <v>320</v>
      </c>
      <c r="R62">
        <v>439</v>
      </c>
      <c r="S62">
        <f>_xlfn.XLOOKUP(Table2[[#This Row],[Obs_date]],'19-20_niwa_temp_data'!B:B,'19-20_niwa_temp_data'!G:G, "N/A")</f>
        <v>16.129166128476697</v>
      </c>
      <c r="T62">
        <f>_xlfn.XLOOKUP(Table2[[#This Row],[First_egg_lay_date]],'19-20_niwa_temp_data'!B:B,'19-20_niwa_temp_data'!G:G, "No Match")</f>
        <v>14.032106042928838</v>
      </c>
    </row>
    <row r="63" spans="1:20" x14ac:dyDescent="0.35">
      <c r="A63" t="s">
        <v>9</v>
      </c>
      <c r="B63" t="s">
        <v>16</v>
      </c>
      <c r="C63" s="3" t="s">
        <v>105</v>
      </c>
      <c r="D63" t="str">
        <f>_xlfn.XLOOKUP(Table2[[#This Row],[Female_ID ]],'19-20_female_cohort'!I:I,'19-20_female_cohort'!H:H, "No Match")</f>
        <v>2018/2019</v>
      </c>
      <c r="E63">
        <v>1</v>
      </c>
      <c r="F63" s="11">
        <v>43770</v>
      </c>
      <c r="G63">
        <f>_xlfn.XLOOKUP(Table2[[#This Row],[First_egg_lay_date]],'19-20_niwa_temp_data'!B:B,'19-20_niwa_temp_data'!G:G, "No Match")</f>
        <v>14.032106042928838</v>
      </c>
      <c r="H63">
        <v>4</v>
      </c>
      <c r="I63" s="11">
        <v>43773</v>
      </c>
      <c r="J63">
        <f>_xlfn.XLOOKUP(Table2[[#This Row],[Nest_box_ID]],Sheet1!A:A,Sheet1!L:L, "No Match")</f>
        <v>0</v>
      </c>
      <c r="K63" s="11">
        <v>43788</v>
      </c>
      <c r="L63">
        <f>_xlfn.XLOOKUP(Table2[[#This Row],[Nest_box_ID]],Sheet1!A:A,Sheet1!K:K, "No Match")</f>
        <v>15</v>
      </c>
      <c r="M63" s="11">
        <v>43774</v>
      </c>
      <c r="N63" s="16">
        <v>0.59950231481481486</v>
      </c>
      <c r="O63">
        <v>3</v>
      </c>
      <c r="P63">
        <v>113.83333330000001</v>
      </c>
      <c r="Q63" t="s">
        <v>319</v>
      </c>
      <c r="R63">
        <v>55</v>
      </c>
      <c r="S63">
        <f>_xlfn.XLOOKUP(Table2[[#This Row],[Obs_date]],'19-20_niwa_temp_data'!B:B,'19-20_niwa_temp_data'!G:G, "N/A")</f>
        <v>16.129166128476697</v>
      </c>
      <c r="T63">
        <f>_xlfn.XLOOKUP(Table2[[#This Row],[First_egg_lay_date]],'19-20_niwa_temp_data'!B:B,'19-20_niwa_temp_data'!G:G, "No Match")</f>
        <v>14.032106042928838</v>
      </c>
    </row>
    <row r="64" spans="1:20" hidden="1" x14ac:dyDescent="0.35">
      <c r="A64" t="s">
        <v>9</v>
      </c>
      <c r="B64" t="s">
        <v>16</v>
      </c>
      <c r="C64" s="3" t="s">
        <v>105</v>
      </c>
      <c r="D64" t="str">
        <f>_xlfn.XLOOKUP(Table2[[#This Row],[Female_ID ]],'19-20_female_cohort'!I:I,'19-20_female_cohort'!H:H, "No Match")</f>
        <v>2018/2019</v>
      </c>
      <c r="E64">
        <v>1</v>
      </c>
      <c r="F64" s="11">
        <v>43770</v>
      </c>
      <c r="G64">
        <f>_xlfn.XLOOKUP(Table2[[#This Row],[First_egg_lay_date]],'19-20_niwa_temp_data'!B:B,'19-20_niwa_temp_data'!G:G, "No Match")</f>
        <v>14.032106042928838</v>
      </c>
      <c r="H64">
        <v>4</v>
      </c>
      <c r="I64" s="11">
        <v>43773</v>
      </c>
      <c r="J64">
        <f>_xlfn.XLOOKUP(Table2[[#This Row],[Nest_box_ID]],Sheet1!A:A,Sheet1!L:L, "No Match")</f>
        <v>0</v>
      </c>
      <c r="K64" s="11">
        <v>43788</v>
      </c>
      <c r="L64">
        <f>_xlfn.XLOOKUP(Table2[[#This Row],[Nest_box_ID]],Sheet1!A:A,Sheet1!K:K, "No Match")</f>
        <v>15</v>
      </c>
      <c r="M64" s="11">
        <v>43774</v>
      </c>
      <c r="N64" s="16">
        <v>0.60013888888888889</v>
      </c>
      <c r="O64">
        <v>3</v>
      </c>
      <c r="P64">
        <v>113.83333330000001</v>
      </c>
      <c r="Q64" t="s">
        <v>320</v>
      </c>
      <c r="R64">
        <v>78</v>
      </c>
      <c r="S64">
        <f>_xlfn.XLOOKUP(Table2[[#This Row],[Obs_date]],'19-20_niwa_temp_data'!B:B,'19-20_niwa_temp_data'!G:G, "N/A")</f>
        <v>16.129166128476697</v>
      </c>
      <c r="T64">
        <f>_xlfn.XLOOKUP(Table2[[#This Row],[First_egg_lay_date]],'19-20_niwa_temp_data'!B:B,'19-20_niwa_temp_data'!G:G, "No Match")</f>
        <v>14.032106042928838</v>
      </c>
    </row>
    <row r="65" spans="1:20" x14ac:dyDescent="0.35">
      <c r="A65" t="s">
        <v>9</v>
      </c>
      <c r="B65" t="s">
        <v>16</v>
      </c>
      <c r="C65" s="3" t="s">
        <v>105</v>
      </c>
      <c r="D65" t="str">
        <f>_xlfn.XLOOKUP(Table2[[#This Row],[Female_ID ]],'19-20_female_cohort'!I:I,'19-20_female_cohort'!H:H, "No Match")</f>
        <v>2018/2019</v>
      </c>
      <c r="E65">
        <v>1</v>
      </c>
      <c r="F65" s="11">
        <v>43770</v>
      </c>
      <c r="G65">
        <f>_xlfn.XLOOKUP(Table2[[#This Row],[First_egg_lay_date]],'19-20_niwa_temp_data'!B:B,'19-20_niwa_temp_data'!G:G, "No Match")</f>
        <v>14.032106042928838</v>
      </c>
      <c r="H65">
        <v>4</v>
      </c>
      <c r="I65" s="11">
        <v>43773</v>
      </c>
      <c r="J65">
        <f>_xlfn.XLOOKUP(Table2[[#This Row],[Nest_box_ID]],Sheet1!A:A,Sheet1!L:L, "No Match")</f>
        <v>0</v>
      </c>
      <c r="K65" s="11">
        <v>43788</v>
      </c>
      <c r="L65">
        <f>_xlfn.XLOOKUP(Table2[[#This Row],[Nest_box_ID]],Sheet1!A:A,Sheet1!K:K, "No Match")</f>
        <v>15</v>
      </c>
      <c r="M65" s="11">
        <v>43774</v>
      </c>
      <c r="N65" s="16">
        <v>0.6010416666666667</v>
      </c>
      <c r="O65">
        <v>3</v>
      </c>
      <c r="P65">
        <v>113.83333330000001</v>
      </c>
      <c r="Q65" t="s">
        <v>319</v>
      </c>
      <c r="R65">
        <v>280</v>
      </c>
      <c r="S65">
        <f>_xlfn.XLOOKUP(Table2[[#This Row],[Obs_date]],'19-20_niwa_temp_data'!B:B,'19-20_niwa_temp_data'!G:G, "N/A")</f>
        <v>16.129166128476697</v>
      </c>
      <c r="T65">
        <f>_xlfn.XLOOKUP(Table2[[#This Row],[First_egg_lay_date]],'19-20_niwa_temp_data'!B:B,'19-20_niwa_temp_data'!G:G, "No Match")</f>
        <v>14.032106042928838</v>
      </c>
    </row>
    <row r="66" spans="1:20" hidden="1" x14ac:dyDescent="0.35">
      <c r="A66" t="s">
        <v>9</v>
      </c>
      <c r="B66" t="s">
        <v>16</v>
      </c>
      <c r="C66" s="3" t="s">
        <v>105</v>
      </c>
      <c r="D66" t="str">
        <f>_xlfn.XLOOKUP(Table2[[#This Row],[Female_ID ]],'19-20_female_cohort'!I:I,'19-20_female_cohort'!H:H, "No Match")</f>
        <v>2018/2019</v>
      </c>
      <c r="E66">
        <v>1</v>
      </c>
      <c r="F66" s="11">
        <v>43770</v>
      </c>
      <c r="G66">
        <f>_xlfn.XLOOKUP(Table2[[#This Row],[First_egg_lay_date]],'19-20_niwa_temp_data'!B:B,'19-20_niwa_temp_data'!G:G, "No Match")</f>
        <v>14.032106042928838</v>
      </c>
      <c r="H66">
        <v>4</v>
      </c>
      <c r="I66" s="11">
        <v>43773</v>
      </c>
      <c r="J66">
        <f>_xlfn.XLOOKUP(Table2[[#This Row],[Nest_box_ID]],Sheet1!A:A,Sheet1!L:L, "No Match")</f>
        <v>0</v>
      </c>
      <c r="K66" s="11">
        <v>43788</v>
      </c>
      <c r="L66">
        <f>_xlfn.XLOOKUP(Table2[[#This Row],[Nest_box_ID]],Sheet1!A:A,Sheet1!K:K, "No Match")</f>
        <v>15</v>
      </c>
      <c r="M66" s="11">
        <v>43774</v>
      </c>
      <c r="N66" s="16">
        <v>0.60428240740740746</v>
      </c>
      <c r="O66">
        <v>3</v>
      </c>
      <c r="P66">
        <v>113.83333330000001</v>
      </c>
      <c r="Q66" t="s">
        <v>320</v>
      </c>
      <c r="R66" t="s">
        <v>254</v>
      </c>
      <c r="S66">
        <f>_xlfn.XLOOKUP(Table2[[#This Row],[Obs_date]],'19-20_niwa_temp_data'!B:B,'19-20_niwa_temp_data'!G:G, "N/A")</f>
        <v>16.129166128476697</v>
      </c>
      <c r="T66">
        <f>_xlfn.XLOOKUP(Table2[[#This Row],[First_egg_lay_date]],'19-20_niwa_temp_data'!B:B,'19-20_niwa_temp_data'!G:G, "No Match")</f>
        <v>14.032106042928838</v>
      </c>
    </row>
    <row r="67" spans="1:20" x14ac:dyDescent="0.35">
      <c r="A67" t="s">
        <v>9</v>
      </c>
      <c r="B67" t="s">
        <v>16</v>
      </c>
      <c r="C67" s="3" t="s">
        <v>105</v>
      </c>
      <c r="D67" t="str">
        <f>_xlfn.XLOOKUP(Table2[[#This Row],[Female_ID ]],'19-20_female_cohort'!I:I,'19-20_female_cohort'!H:H, "No Match")</f>
        <v>2018/2019</v>
      </c>
      <c r="E67">
        <v>1</v>
      </c>
      <c r="F67" s="11">
        <v>43770</v>
      </c>
      <c r="G67">
        <f>_xlfn.XLOOKUP(Table2[[#This Row],[First_egg_lay_date]],'19-20_niwa_temp_data'!B:B,'19-20_niwa_temp_data'!G:G, "No Match")</f>
        <v>14.032106042928838</v>
      </c>
      <c r="H67">
        <v>4</v>
      </c>
      <c r="I67" s="11">
        <v>43773</v>
      </c>
      <c r="J67">
        <f>_xlfn.XLOOKUP(Table2[[#This Row],[Nest_box_ID]],Sheet1!A:A,Sheet1!L:L, "No Match")</f>
        <v>0</v>
      </c>
      <c r="K67" s="11">
        <v>43788</v>
      </c>
      <c r="L67">
        <f>_xlfn.XLOOKUP(Table2[[#This Row],[Nest_box_ID]],Sheet1!A:A,Sheet1!K:K, "No Match")</f>
        <v>15</v>
      </c>
      <c r="M67" s="11">
        <v>43786</v>
      </c>
      <c r="N67" s="16">
        <v>0.56180555555555556</v>
      </c>
      <c r="O67">
        <v>13</v>
      </c>
      <c r="P67">
        <v>160.41666670000001</v>
      </c>
      <c r="Q67" t="s">
        <v>319</v>
      </c>
      <c r="R67">
        <v>420</v>
      </c>
      <c r="S67">
        <f>_xlfn.XLOOKUP(Table2[[#This Row],[Obs_date]],'19-20_niwa_temp_data'!B:B,'19-20_niwa_temp_data'!G:G, "N/A")</f>
        <v>15.768322675541617</v>
      </c>
      <c r="T67">
        <f>_xlfn.XLOOKUP(Table2[[#This Row],[First_egg_lay_date]],'19-20_niwa_temp_data'!B:B,'19-20_niwa_temp_data'!G:G, "No Match")</f>
        <v>14.032106042928838</v>
      </c>
    </row>
    <row r="68" spans="1:20" hidden="1" x14ac:dyDescent="0.35">
      <c r="A68" t="s">
        <v>9</v>
      </c>
      <c r="B68" t="s">
        <v>16</v>
      </c>
      <c r="C68" s="3" t="s">
        <v>105</v>
      </c>
      <c r="D68" t="str">
        <f>_xlfn.XLOOKUP(Table2[[#This Row],[Female_ID ]],'19-20_female_cohort'!I:I,'19-20_female_cohort'!H:H, "No Match")</f>
        <v>2018/2019</v>
      </c>
      <c r="E68">
        <v>1</v>
      </c>
      <c r="F68" s="11">
        <v>43770</v>
      </c>
      <c r="G68">
        <f>_xlfn.XLOOKUP(Table2[[#This Row],[First_egg_lay_date]],'19-20_niwa_temp_data'!B:B,'19-20_niwa_temp_data'!G:G, "No Match")</f>
        <v>14.032106042928838</v>
      </c>
      <c r="H68">
        <v>4</v>
      </c>
      <c r="I68" s="11">
        <v>43773</v>
      </c>
      <c r="J68">
        <f>_xlfn.XLOOKUP(Table2[[#This Row],[Nest_box_ID]],Sheet1!A:A,Sheet1!L:L, "No Match")</f>
        <v>0</v>
      </c>
      <c r="K68" s="11">
        <v>43788</v>
      </c>
      <c r="L68">
        <f>_xlfn.XLOOKUP(Table2[[#This Row],[Nest_box_ID]],Sheet1!A:A,Sheet1!K:K, "No Match")</f>
        <v>15</v>
      </c>
      <c r="M68" s="11">
        <v>43786</v>
      </c>
      <c r="N68" s="16">
        <v>0.56666666666666665</v>
      </c>
      <c r="O68">
        <v>13</v>
      </c>
      <c r="P68">
        <v>160.41666670000001</v>
      </c>
      <c r="Q68" t="s">
        <v>320</v>
      </c>
      <c r="R68">
        <v>5460</v>
      </c>
      <c r="S68">
        <f>_xlfn.XLOOKUP(Table2[[#This Row],[Obs_date]],'19-20_niwa_temp_data'!B:B,'19-20_niwa_temp_data'!G:G, "N/A")</f>
        <v>15.768322675541617</v>
      </c>
      <c r="T68">
        <f>_xlfn.XLOOKUP(Table2[[#This Row],[First_egg_lay_date]],'19-20_niwa_temp_data'!B:B,'19-20_niwa_temp_data'!G:G, "No Match")</f>
        <v>14.032106042928838</v>
      </c>
    </row>
    <row r="69" spans="1:20" x14ac:dyDescent="0.35">
      <c r="A69" t="s">
        <v>9</v>
      </c>
      <c r="B69" t="s">
        <v>16</v>
      </c>
      <c r="C69" s="3" t="s">
        <v>105</v>
      </c>
      <c r="D69" t="str">
        <f>_xlfn.XLOOKUP(Table2[[#This Row],[Female_ID ]],'19-20_female_cohort'!I:I,'19-20_female_cohort'!H:H, "No Match")</f>
        <v>2018/2019</v>
      </c>
      <c r="E69">
        <v>1</v>
      </c>
      <c r="F69" s="11">
        <v>43770</v>
      </c>
      <c r="G69">
        <f>_xlfn.XLOOKUP(Table2[[#This Row],[First_egg_lay_date]],'19-20_niwa_temp_data'!B:B,'19-20_niwa_temp_data'!G:G, "No Match")</f>
        <v>14.032106042928838</v>
      </c>
      <c r="H69">
        <v>4</v>
      </c>
      <c r="I69" s="11">
        <v>43773</v>
      </c>
      <c r="J69">
        <f>_xlfn.XLOOKUP(Table2[[#This Row],[Nest_box_ID]],Sheet1!A:A,Sheet1!L:L, "No Match")</f>
        <v>0</v>
      </c>
      <c r="K69" s="11">
        <v>43788</v>
      </c>
      <c r="L69">
        <f>_xlfn.XLOOKUP(Table2[[#This Row],[Nest_box_ID]],Sheet1!A:A,Sheet1!K:K, "No Match")</f>
        <v>15</v>
      </c>
      <c r="M69" s="11">
        <v>43786</v>
      </c>
      <c r="N69" s="16">
        <v>0.62986111111111109</v>
      </c>
      <c r="O69">
        <v>13</v>
      </c>
      <c r="P69">
        <v>160.41666670000001</v>
      </c>
      <c r="Q69" t="s">
        <v>319</v>
      </c>
      <c r="R69">
        <v>360</v>
      </c>
      <c r="S69">
        <f>_xlfn.XLOOKUP(Table2[[#This Row],[Obs_date]],'19-20_niwa_temp_data'!B:B,'19-20_niwa_temp_data'!G:G, "N/A")</f>
        <v>15.768322675541617</v>
      </c>
      <c r="T69">
        <f>_xlfn.XLOOKUP(Table2[[#This Row],[First_egg_lay_date]],'19-20_niwa_temp_data'!B:B,'19-20_niwa_temp_data'!G:G, "No Match")</f>
        <v>14.032106042928838</v>
      </c>
    </row>
    <row r="70" spans="1:20" hidden="1" x14ac:dyDescent="0.35">
      <c r="A70" t="s">
        <v>9</v>
      </c>
      <c r="B70" t="s">
        <v>16</v>
      </c>
      <c r="C70" s="3" t="s">
        <v>105</v>
      </c>
      <c r="D70" t="str">
        <f>_xlfn.XLOOKUP(Table2[[#This Row],[Female_ID ]],'19-20_female_cohort'!I:I,'19-20_female_cohort'!H:H, "No Match")</f>
        <v>2018/2019</v>
      </c>
      <c r="E70">
        <v>1</v>
      </c>
      <c r="F70" s="11">
        <v>43770</v>
      </c>
      <c r="G70">
        <f>_xlfn.XLOOKUP(Table2[[#This Row],[First_egg_lay_date]],'19-20_niwa_temp_data'!B:B,'19-20_niwa_temp_data'!G:G, "No Match")</f>
        <v>14.032106042928838</v>
      </c>
      <c r="H70">
        <v>4</v>
      </c>
      <c r="I70" s="11">
        <v>43773</v>
      </c>
      <c r="J70">
        <f>_xlfn.XLOOKUP(Table2[[#This Row],[Nest_box_ID]],Sheet1!A:A,Sheet1!L:L, "No Match")</f>
        <v>0</v>
      </c>
      <c r="K70" s="11">
        <v>43788</v>
      </c>
      <c r="L70">
        <f>_xlfn.XLOOKUP(Table2[[#This Row],[Nest_box_ID]],Sheet1!A:A,Sheet1!K:K, "No Match")</f>
        <v>15</v>
      </c>
      <c r="M70" s="11">
        <v>43786</v>
      </c>
      <c r="N70" s="16">
        <v>0.63402777777777775</v>
      </c>
      <c r="O70">
        <v>13</v>
      </c>
      <c r="P70">
        <v>160.41666670000001</v>
      </c>
      <c r="Q70" t="s">
        <v>320</v>
      </c>
      <c r="R70">
        <v>540</v>
      </c>
      <c r="S70">
        <f>_xlfn.XLOOKUP(Table2[[#This Row],[Obs_date]],'19-20_niwa_temp_data'!B:B,'19-20_niwa_temp_data'!G:G, "N/A")</f>
        <v>15.768322675541617</v>
      </c>
      <c r="T70">
        <f>_xlfn.XLOOKUP(Table2[[#This Row],[First_egg_lay_date]],'19-20_niwa_temp_data'!B:B,'19-20_niwa_temp_data'!G:G, "No Match")</f>
        <v>14.032106042928838</v>
      </c>
    </row>
    <row r="71" spans="1:20" x14ac:dyDescent="0.35">
      <c r="A71" t="s">
        <v>9</v>
      </c>
      <c r="B71" t="s">
        <v>16</v>
      </c>
      <c r="C71" s="3" t="s">
        <v>105</v>
      </c>
      <c r="D71" t="str">
        <f>_xlfn.XLOOKUP(Table2[[#This Row],[Female_ID ]],'19-20_female_cohort'!I:I,'19-20_female_cohort'!H:H, "No Match")</f>
        <v>2018/2019</v>
      </c>
      <c r="E71">
        <v>1</v>
      </c>
      <c r="F71" s="11">
        <v>43770</v>
      </c>
      <c r="G71">
        <f>_xlfn.XLOOKUP(Table2[[#This Row],[First_egg_lay_date]],'19-20_niwa_temp_data'!B:B,'19-20_niwa_temp_data'!G:G, "No Match")</f>
        <v>14.032106042928838</v>
      </c>
      <c r="H71">
        <v>4</v>
      </c>
      <c r="I71" s="11">
        <v>43773</v>
      </c>
      <c r="J71">
        <f>_xlfn.XLOOKUP(Table2[[#This Row],[Nest_box_ID]],Sheet1!A:A,Sheet1!L:L, "No Match")</f>
        <v>0</v>
      </c>
      <c r="K71" s="11">
        <v>43788</v>
      </c>
      <c r="L71">
        <f>_xlfn.XLOOKUP(Table2[[#This Row],[Nest_box_ID]],Sheet1!A:A,Sheet1!K:K, "No Match")</f>
        <v>15</v>
      </c>
      <c r="M71" s="11">
        <v>43786</v>
      </c>
      <c r="N71" s="16">
        <v>0.64027777777777772</v>
      </c>
      <c r="O71">
        <v>13</v>
      </c>
      <c r="P71">
        <v>160.41666670000001</v>
      </c>
      <c r="Q71" t="s">
        <v>319</v>
      </c>
      <c r="R71">
        <v>190</v>
      </c>
      <c r="S71">
        <f>_xlfn.XLOOKUP(Table2[[#This Row],[Obs_date]],'19-20_niwa_temp_data'!B:B,'19-20_niwa_temp_data'!G:G, "N/A")</f>
        <v>15.768322675541617</v>
      </c>
      <c r="T71">
        <f>_xlfn.XLOOKUP(Table2[[#This Row],[First_egg_lay_date]],'19-20_niwa_temp_data'!B:B,'19-20_niwa_temp_data'!G:G, "No Match")</f>
        <v>14.032106042928838</v>
      </c>
    </row>
    <row r="72" spans="1:20" hidden="1" x14ac:dyDescent="0.35">
      <c r="A72" t="s">
        <v>9</v>
      </c>
      <c r="B72" t="s">
        <v>16</v>
      </c>
      <c r="C72" s="3" t="s">
        <v>105</v>
      </c>
      <c r="D72" t="str">
        <f>_xlfn.XLOOKUP(Table2[[#This Row],[Female_ID ]],'19-20_female_cohort'!I:I,'19-20_female_cohort'!H:H, "No Match")</f>
        <v>2018/2019</v>
      </c>
      <c r="E72">
        <v>1</v>
      </c>
      <c r="F72" s="11">
        <v>43770</v>
      </c>
      <c r="G72">
        <f>_xlfn.XLOOKUP(Table2[[#This Row],[First_egg_lay_date]],'19-20_niwa_temp_data'!B:B,'19-20_niwa_temp_data'!G:G, "No Match")</f>
        <v>14.032106042928838</v>
      </c>
      <c r="H72">
        <v>4</v>
      </c>
      <c r="I72" s="11">
        <v>43773</v>
      </c>
      <c r="J72">
        <f>_xlfn.XLOOKUP(Table2[[#This Row],[Nest_box_ID]],Sheet1!A:A,Sheet1!L:L, "No Match")</f>
        <v>0</v>
      </c>
      <c r="K72" s="11">
        <v>43788</v>
      </c>
      <c r="L72">
        <f>_xlfn.XLOOKUP(Table2[[#This Row],[Nest_box_ID]],Sheet1!A:A,Sheet1!K:K, "No Match")</f>
        <v>15</v>
      </c>
      <c r="M72" s="11">
        <v>43786</v>
      </c>
      <c r="N72" s="16">
        <v>0.64247685185185188</v>
      </c>
      <c r="O72">
        <v>13</v>
      </c>
      <c r="P72">
        <v>160.41666670000001</v>
      </c>
      <c r="Q72" t="s">
        <v>320</v>
      </c>
      <c r="R72">
        <v>400</v>
      </c>
      <c r="S72">
        <f>_xlfn.XLOOKUP(Table2[[#This Row],[Obs_date]],'19-20_niwa_temp_data'!B:B,'19-20_niwa_temp_data'!G:G, "N/A")</f>
        <v>15.768322675541617</v>
      </c>
      <c r="T72">
        <f>_xlfn.XLOOKUP(Table2[[#This Row],[First_egg_lay_date]],'19-20_niwa_temp_data'!B:B,'19-20_niwa_temp_data'!G:G, "No Match")</f>
        <v>14.032106042928838</v>
      </c>
    </row>
    <row r="73" spans="1:20" x14ac:dyDescent="0.35">
      <c r="A73" t="s">
        <v>9</v>
      </c>
      <c r="B73" t="s">
        <v>16</v>
      </c>
      <c r="C73" s="3" t="s">
        <v>105</v>
      </c>
      <c r="D73" t="str">
        <f>_xlfn.XLOOKUP(Table2[[#This Row],[Female_ID ]],'19-20_female_cohort'!I:I,'19-20_female_cohort'!H:H, "No Match")</f>
        <v>2018/2019</v>
      </c>
      <c r="E73">
        <v>1</v>
      </c>
      <c r="F73" s="11">
        <v>43770</v>
      </c>
      <c r="G73">
        <f>_xlfn.XLOOKUP(Table2[[#This Row],[First_egg_lay_date]],'19-20_niwa_temp_data'!B:B,'19-20_niwa_temp_data'!G:G, "No Match")</f>
        <v>14.032106042928838</v>
      </c>
      <c r="H73">
        <v>4</v>
      </c>
      <c r="I73" s="11">
        <v>43773</v>
      </c>
      <c r="J73">
        <f>_xlfn.XLOOKUP(Table2[[#This Row],[Nest_box_ID]],Sheet1!A:A,Sheet1!L:L, "No Match")</f>
        <v>0</v>
      </c>
      <c r="K73" s="11">
        <v>43788</v>
      </c>
      <c r="L73">
        <f>_xlfn.XLOOKUP(Table2[[#This Row],[Nest_box_ID]],Sheet1!A:A,Sheet1!K:K, "No Match")</f>
        <v>15</v>
      </c>
      <c r="M73" s="11">
        <v>43786</v>
      </c>
      <c r="N73" s="16">
        <v>0.64710648148148153</v>
      </c>
      <c r="O73">
        <v>13</v>
      </c>
      <c r="P73">
        <v>160.41666670000001</v>
      </c>
      <c r="Q73" t="s">
        <v>319</v>
      </c>
      <c r="R73">
        <v>369</v>
      </c>
      <c r="S73">
        <f>_xlfn.XLOOKUP(Table2[[#This Row],[Obs_date]],'19-20_niwa_temp_data'!B:B,'19-20_niwa_temp_data'!G:G, "N/A")</f>
        <v>15.768322675541617</v>
      </c>
      <c r="T73">
        <f>_xlfn.XLOOKUP(Table2[[#This Row],[First_egg_lay_date]],'19-20_niwa_temp_data'!B:B,'19-20_niwa_temp_data'!G:G, "No Match")</f>
        <v>14.032106042928838</v>
      </c>
    </row>
    <row r="74" spans="1:20" hidden="1" x14ac:dyDescent="0.35">
      <c r="A74" t="s">
        <v>9</v>
      </c>
      <c r="B74" t="s">
        <v>16</v>
      </c>
      <c r="C74" s="3" t="s">
        <v>105</v>
      </c>
      <c r="D74" t="str">
        <f>_xlfn.XLOOKUP(Table2[[#This Row],[Female_ID ]],'19-20_female_cohort'!I:I,'19-20_female_cohort'!H:H, "No Match")</f>
        <v>2018/2019</v>
      </c>
      <c r="E74">
        <v>1</v>
      </c>
      <c r="F74" s="11">
        <v>43770</v>
      </c>
      <c r="G74">
        <f>_xlfn.XLOOKUP(Table2[[#This Row],[First_egg_lay_date]],'19-20_niwa_temp_data'!B:B,'19-20_niwa_temp_data'!G:G, "No Match")</f>
        <v>14.032106042928838</v>
      </c>
      <c r="H74">
        <v>4</v>
      </c>
      <c r="I74" s="11">
        <v>43773</v>
      </c>
      <c r="J74">
        <f>_xlfn.XLOOKUP(Table2[[#This Row],[Nest_box_ID]],Sheet1!A:A,Sheet1!L:L, "No Match")</f>
        <v>0</v>
      </c>
      <c r="K74" s="11">
        <v>43788</v>
      </c>
      <c r="L74">
        <f>_xlfn.XLOOKUP(Table2[[#This Row],[Nest_box_ID]],Sheet1!A:A,Sheet1!K:K, "No Match")</f>
        <v>15</v>
      </c>
      <c r="M74" s="11">
        <v>43786</v>
      </c>
      <c r="N74" s="16">
        <v>0.65137731481481487</v>
      </c>
      <c r="O74">
        <v>13</v>
      </c>
      <c r="P74">
        <v>160.41666670000001</v>
      </c>
      <c r="Q74" t="s">
        <v>320</v>
      </c>
      <c r="R74">
        <v>1321</v>
      </c>
      <c r="S74">
        <f>_xlfn.XLOOKUP(Table2[[#This Row],[Obs_date]],'19-20_niwa_temp_data'!B:B,'19-20_niwa_temp_data'!G:G, "N/A")</f>
        <v>15.768322675541617</v>
      </c>
      <c r="T74">
        <f>_xlfn.XLOOKUP(Table2[[#This Row],[First_egg_lay_date]],'19-20_niwa_temp_data'!B:B,'19-20_niwa_temp_data'!G:G, "No Match")</f>
        <v>14.032106042928838</v>
      </c>
    </row>
    <row r="75" spans="1:20" x14ac:dyDescent="0.35">
      <c r="A75" t="s">
        <v>9</v>
      </c>
      <c r="B75" t="s">
        <v>16</v>
      </c>
      <c r="C75" s="3" t="s">
        <v>105</v>
      </c>
      <c r="D75" t="str">
        <f>_xlfn.XLOOKUP(Table2[[#This Row],[Female_ID ]],'19-20_female_cohort'!I:I,'19-20_female_cohort'!H:H, "No Match")</f>
        <v>2018/2019</v>
      </c>
      <c r="E75">
        <v>1</v>
      </c>
      <c r="F75" s="11">
        <v>43770</v>
      </c>
      <c r="G75">
        <f>_xlfn.XLOOKUP(Table2[[#This Row],[First_egg_lay_date]],'19-20_niwa_temp_data'!B:B,'19-20_niwa_temp_data'!G:G, "No Match")</f>
        <v>14.032106042928838</v>
      </c>
      <c r="H75">
        <v>4</v>
      </c>
      <c r="I75" s="11">
        <v>43773</v>
      </c>
      <c r="J75">
        <f>_xlfn.XLOOKUP(Table2[[#This Row],[Nest_box_ID]],Sheet1!A:A,Sheet1!L:L, "No Match")</f>
        <v>0</v>
      </c>
      <c r="K75" s="11">
        <v>43788</v>
      </c>
      <c r="L75">
        <f>_xlfn.XLOOKUP(Table2[[#This Row],[Nest_box_ID]],Sheet1!A:A,Sheet1!K:K, "No Match")</f>
        <v>15</v>
      </c>
      <c r="M75" s="11">
        <v>43786</v>
      </c>
      <c r="N75" s="16">
        <v>0.66666666666666663</v>
      </c>
      <c r="O75">
        <v>13</v>
      </c>
      <c r="P75">
        <v>160.41666670000001</v>
      </c>
      <c r="Q75" t="s">
        <v>319</v>
      </c>
      <c r="R75">
        <v>565</v>
      </c>
      <c r="S75">
        <f>_xlfn.XLOOKUP(Table2[[#This Row],[Obs_date]],'19-20_niwa_temp_data'!B:B,'19-20_niwa_temp_data'!G:G, "N/A")</f>
        <v>15.768322675541617</v>
      </c>
      <c r="T75">
        <f>_xlfn.XLOOKUP(Table2[[#This Row],[First_egg_lay_date]],'19-20_niwa_temp_data'!B:B,'19-20_niwa_temp_data'!G:G, "No Match")</f>
        <v>14.032106042928838</v>
      </c>
    </row>
    <row r="76" spans="1:20" hidden="1" x14ac:dyDescent="0.35">
      <c r="A76" t="s">
        <v>9</v>
      </c>
      <c r="B76" t="s">
        <v>16</v>
      </c>
      <c r="C76" s="3" t="s">
        <v>105</v>
      </c>
      <c r="D76" t="str">
        <f>_xlfn.XLOOKUP(Table2[[#This Row],[Female_ID ]],'19-20_female_cohort'!I:I,'19-20_female_cohort'!H:H, "No Match")</f>
        <v>2018/2019</v>
      </c>
      <c r="E76">
        <v>1</v>
      </c>
      <c r="F76" s="11">
        <v>43770</v>
      </c>
      <c r="G76">
        <f>_xlfn.XLOOKUP(Table2[[#This Row],[First_egg_lay_date]],'19-20_niwa_temp_data'!B:B,'19-20_niwa_temp_data'!G:G, "No Match")</f>
        <v>14.032106042928838</v>
      </c>
      <c r="H76">
        <v>4</v>
      </c>
      <c r="I76" s="11">
        <v>43773</v>
      </c>
      <c r="J76">
        <f>_xlfn.XLOOKUP(Table2[[#This Row],[Nest_box_ID]],Sheet1!A:A,Sheet1!L:L, "No Match")</f>
        <v>0</v>
      </c>
      <c r="K76" s="11">
        <v>43788</v>
      </c>
      <c r="L76">
        <f>_xlfn.XLOOKUP(Table2[[#This Row],[Nest_box_ID]],Sheet1!A:A,Sheet1!K:K, "No Match")</f>
        <v>15</v>
      </c>
      <c r="M76" s="11">
        <v>43786</v>
      </c>
      <c r="N76" s="16">
        <v>0.67320601851851847</v>
      </c>
      <c r="O76">
        <v>13</v>
      </c>
      <c r="P76">
        <v>160.41666670000001</v>
      </c>
      <c r="Q76" t="s">
        <v>320</v>
      </c>
      <c r="R76" t="s">
        <v>254</v>
      </c>
      <c r="S76">
        <f>_xlfn.XLOOKUP(Table2[[#This Row],[Obs_date]],'19-20_niwa_temp_data'!B:B,'19-20_niwa_temp_data'!G:G, "N/A")</f>
        <v>15.768322675541617</v>
      </c>
      <c r="T76">
        <f>_xlfn.XLOOKUP(Table2[[#This Row],[First_egg_lay_date]],'19-20_niwa_temp_data'!B:B,'19-20_niwa_temp_data'!G:G, "No Match")</f>
        <v>14.032106042928838</v>
      </c>
    </row>
    <row r="77" spans="1:20" x14ac:dyDescent="0.35">
      <c r="A77" t="s">
        <v>9</v>
      </c>
      <c r="B77" t="s">
        <v>33</v>
      </c>
      <c r="C77" s="3" t="s">
        <v>122</v>
      </c>
      <c r="D77" t="str">
        <f>_xlfn.XLOOKUP(Table2[[#This Row],[Female_ID ]],'19-20_female_cohort'!I:I,'19-20_female_cohort'!H:H, "No Match")</f>
        <v>2017/2018</v>
      </c>
      <c r="E77">
        <v>2</v>
      </c>
      <c r="F77" s="11">
        <v>43778</v>
      </c>
      <c r="G77">
        <f>_xlfn.XLOOKUP(Table2[[#This Row],[First_egg_lay_date]],'19-20_niwa_temp_data'!B:B,'19-20_niwa_temp_data'!G:G, "No Match")</f>
        <v>17.764290022401685</v>
      </c>
      <c r="H77">
        <v>4</v>
      </c>
      <c r="I77" s="11">
        <v>43782</v>
      </c>
      <c r="J77">
        <f>_xlfn.XLOOKUP(Table2[[#This Row],[Nest_box_ID]],Sheet1!A:A,Sheet1!L:L, "No Match")</f>
        <v>1</v>
      </c>
      <c r="K77" s="11">
        <v>43796</v>
      </c>
      <c r="L77">
        <f>_xlfn.XLOOKUP(Table2[[#This Row],[Nest_box_ID]],Sheet1!A:A,Sheet1!K:K, "No Match")</f>
        <v>14</v>
      </c>
      <c r="M77" s="11">
        <v>43795</v>
      </c>
      <c r="N77" s="16">
        <v>0.48002314814814817</v>
      </c>
      <c r="O77">
        <v>13</v>
      </c>
      <c r="P77">
        <v>65</v>
      </c>
      <c r="Q77" t="s">
        <v>319</v>
      </c>
      <c r="R77">
        <v>359</v>
      </c>
      <c r="S77">
        <f>_xlfn.XLOOKUP(Table2[[#This Row],[Obs_date]],'19-20_niwa_temp_data'!B:B,'19-20_niwa_temp_data'!G:G, "N/A")</f>
        <v>16.664933243190625</v>
      </c>
      <c r="T77">
        <f>_xlfn.XLOOKUP(Table2[[#This Row],[First_egg_lay_date]],'19-20_niwa_temp_data'!B:B,'19-20_niwa_temp_data'!G:G, "No Match")</f>
        <v>17.764290022401685</v>
      </c>
    </row>
    <row r="78" spans="1:20" hidden="1" x14ac:dyDescent="0.35">
      <c r="A78" t="s">
        <v>9</v>
      </c>
      <c r="B78" t="s">
        <v>33</v>
      </c>
      <c r="C78" s="3" t="s">
        <v>122</v>
      </c>
      <c r="D78" t="str">
        <f>_xlfn.XLOOKUP(Table2[[#This Row],[Female_ID ]],'19-20_female_cohort'!I:I,'19-20_female_cohort'!H:H, "No Match")</f>
        <v>2017/2018</v>
      </c>
      <c r="E78">
        <v>2</v>
      </c>
      <c r="F78" s="11">
        <v>43778</v>
      </c>
      <c r="G78">
        <f>_xlfn.XLOOKUP(Table2[[#This Row],[First_egg_lay_date]],'19-20_niwa_temp_data'!B:B,'19-20_niwa_temp_data'!G:G, "No Match")</f>
        <v>17.764290022401685</v>
      </c>
      <c r="H78">
        <v>4</v>
      </c>
      <c r="I78" s="11">
        <v>43782</v>
      </c>
      <c r="J78">
        <f>_xlfn.XLOOKUP(Table2[[#This Row],[Nest_box_ID]],Sheet1!A:A,Sheet1!L:L, "No Match")</f>
        <v>1</v>
      </c>
      <c r="K78" s="11">
        <v>43796</v>
      </c>
      <c r="L78">
        <f>_xlfn.XLOOKUP(Table2[[#This Row],[Nest_box_ID]],Sheet1!A:A,Sheet1!K:K, "No Match")</f>
        <v>14</v>
      </c>
      <c r="M78" s="11">
        <v>43795</v>
      </c>
      <c r="N78" s="16">
        <v>0.48417824074074073</v>
      </c>
      <c r="O78">
        <v>13</v>
      </c>
      <c r="P78">
        <v>65</v>
      </c>
      <c r="Q78" t="s">
        <v>320</v>
      </c>
      <c r="R78" t="s">
        <v>254</v>
      </c>
      <c r="S78">
        <f>_xlfn.XLOOKUP(Table2[[#This Row],[Obs_date]],'19-20_niwa_temp_data'!B:B,'19-20_niwa_temp_data'!G:G, "N/A")</f>
        <v>16.664933243190625</v>
      </c>
      <c r="T78">
        <f>_xlfn.XLOOKUP(Table2[[#This Row],[First_egg_lay_date]],'19-20_niwa_temp_data'!B:B,'19-20_niwa_temp_data'!G:G, "No Match")</f>
        <v>17.764290022401685</v>
      </c>
    </row>
    <row r="79" spans="1:20" x14ac:dyDescent="0.35">
      <c r="A79" t="s">
        <v>9</v>
      </c>
      <c r="B79" t="s">
        <v>55</v>
      </c>
      <c r="C79" s="3" t="s">
        <v>144</v>
      </c>
      <c r="D79" t="str">
        <f>_xlfn.XLOOKUP(Table2[[#This Row],[Female_ID ]],'19-20_female_cohort'!I:I,'19-20_female_cohort'!H:H, "No Match")</f>
        <v>2018/2019</v>
      </c>
      <c r="E79">
        <v>1</v>
      </c>
      <c r="F79" s="11">
        <v>43790</v>
      </c>
      <c r="G79">
        <f>_xlfn.XLOOKUP(Table2[[#This Row],[First_egg_lay_date]],'19-20_niwa_temp_data'!B:B,'19-20_niwa_temp_data'!G:G, "No Match")</f>
        <v>16.25176913446656</v>
      </c>
      <c r="H79">
        <v>4</v>
      </c>
      <c r="I79" s="11">
        <v>43793</v>
      </c>
      <c r="J79">
        <f>_xlfn.XLOOKUP(Table2[[#This Row],[Nest_box_ID]],Sheet1!A:A,Sheet1!L:L, "No Match")</f>
        <v>0</v>
      </c>
      <c r="K79" s="11">
        <v>43808</v>
      </c>
      <c r="L79">
        <f>_xlfn.XLOOKUP(Table2[[#This Row],[Nest_box_ID]],Sheet1!A:A,Sheet1!K:K, "No Match")</f>
        <v>15</v>
      </c>
      <c r="M79" s="11">
        <v>43794</v>
      </c>
      <c r="N79" s="16">
        <v>0.54236111111111107</v>
      </c>
      <c r="O79">
        <v>1</v>
      </c>
      <c r="P79">
        <v>67.283333330000005</v>
      </c>
      <c r="Q79" t="s">
        <v>319</v>
      </c>
      <c r="R79">
        <v>469</v>
      </c>
      <c r="S79">
        <f>_xlfn.XLOOKUP(Table2[[#This Row],[Obs_date]],'19-20_niwa_temp_data'!B:B,'19-20_niwa_temp_data'!G:G, "N/A")</f>
        <v>16.725429740368405</v>
      </c>
      <c r="T79">
        <f>_xlfn.XLOOKUP(Table2[[#This Row],[First_egg_lay_date]],'19-20_niwa_temp_data'!B:B,'19-20_niwa_temp_data'!G:G, "No Match")</f>
        <v>16.25176913446656</v>
      </c>
    </row>
    <row r="80" spans="1:20" hidden="1" x14ac:dyDescent="0.35">
      <c r="A80" t="s">
        <v>9</v>
      </c>
      <c r="B80" t="s">
        <v>55</v>
      </c>
      <c r="C80" s="3" t="s">
        <v>144</v>
      </c>
      <c r="D80" t="str">
        <f>_xlfn.XLOOKUP(Table2[[#This Row],[Female_ID ]],'19-20_female_cohort'!I:I,'19-20_female_cohort'!H:H, "No Match")</f>
        <v>2018/2019</v>
      </c>
      <c r="E80">
        <v>1</v>
      </c>
      <c r="F80" s="11">
        <v>43790</v>
      </c>
      <c r="G80">
        <f>_xlfn.XLOOKUP(Table2[[#This Row],[First_egg_lay_date]],'19-20_niwa_temp_data'!B:B,'19-20_niwa_temp_data'!G:G, "No Match")</f>
        <v>16.25176913446656</v>
      </c>
      <c r="H80">
        <v>4</v>
      </c>
      <c r="I80" s="11">
        <v>43793</v>
      </c>
      <c r="J80">
        <f>_xlfn.XLOOKUP(Table2[[#This Row],[Nest_box_ID]],Sheet1!A:A,Sheet1!L:L, "No Match")</f>
        <v>0</v>
      </c>
      <c r="K80" s="11">
        <v>43808</v>
      </c>
      <c r="L80">
        <f>_xlfn.XLOOKUP(Table2[[#This Row],[Nest_box_ID]],Sheet1!A:A,Sheet1!K:K, "No Match")</f>
        <v>15</v>
      </c>
      <c r="M80" s="11">
        <v>43794</v>
      </c>
      <c r="N80" s="16">
        <v>0.54778935185185185</v>
      </c>
      <c r="O80">
        <v>1</v>
      </c>
      <c r="P80">
        <v>67.283333330000005</v>
      </c>
      <c r="Q80" t="s">
        <v>320</v>
      </c>
      <c r="R80">
        <v>871</v>
      </c>
      <c r="S80">
        <f>_xlfn.XLOOKUP(Table2[[#This Row],[Obs_date]],'19-20_niwa_temp_data'!B:B,'19-20_niwa_temp_data'!G:G, "N/A")</f>
        <v>16.725429740368405</v>
      </c>
      <c r="T80">
        <f>_xlfn.XLOOKUP(Table2[[#This Row],[First_egg_lay_date]],'19-20_niwa_temp_data'!B:B,'19-20_niwa_temp_data'!G:G, "No Match")</f>
        <v>16.25176913446656</v>
      </c>
    </row>
    <row r="81" spans="1:20" x14ac:dyDescent="0.35">
      <c r="A81" t="s">
        <v>9</v>
      </c>
      <c r="B81" t="s">
        <v>55</v>
      </c>
      <c r="C81" s="3" t="s">
        <v>144</v>
      </c>
      <c r="D81" t="str">
        <f>_xlfn.XLOOKUP(Table2[[#This Row],[Female_ID ]],'19-20_female_cohort'!I:I,'19-20_female_cohort'!H:H, "No Match")</f>
        <v>2018/2019</v>
      </c>
      <c r="E81">
        <v>1</v>
      </c>
      <c r="F81" s="11">
        <v>43790</v>
      </c>
      <c r="G81">
        <f>_xlfn.XLOOKUP(Table2[[#This Row],[First_egg_lay_date]],'19-20_niwa_temp_data'!B:B,'19-20_niwa_temp_data'!G:G, "No Match")</f>
        <v>16.25176913446656</v>
      </c>
      <c r="H81">
        <v>4</v>
      </c>
      <c r="I81" s="11">
        <v>43793</v>
      </c>
      <c r="J81">
        <f>_xlfn.XLOOKUP(Table2[[#This Row],[Nest_box_ID]],Sheet1!A:A,Sheet1!L:L, "No Match")</f>
        <v>0</v>
      </c>
      <c r="K81" s="11">
        <v>43808</v>
      </c>
      <c r="L81">
        <f>_xlfn.XLOOKUP(Table2[[#This Row],[Nest_box_ID]],Sheet1!A:A,Sheet1!K:K, "No Match")</f>
        <v>15</v>
      </c>
      <c r="M81" s="11">
        <v>43794</v>
      </c>
      <c r="N81" s="16">
        <v>0.55787037037037035</v>
      </c>
      <c r="O81">
        <v>1</v>
      </c>
      <c r="P81">
        <v>67.283333330000005</v>
      </c>
      <c r="Q81" t="s">
        <v>319</v>
      </c>
      <c r="R81">
        <v>105</v>
      </c>
      <c r="S81">
        <f>_xlfn.XLOOKUP(Table2[[#This Row],[Obs_date]],'19-20_niwa_temp_data'!B:B,'19-20_niwa_temp_data'!G:G, "N/A")</f>
        <v>16.725429740368405</v>
      </c>
      <c r="T81">
        <f>_xlfn.XLOOKUP(Table2[[#This Row],[First_egg_lay_date]],'19-20_niwa_temp_data'!B:B,'19-20_niwa_temp_data'!G:G, "No Match")</f>
        <v>16.25176913446656</v>
      </c>
    </row>
    <row r="82" spans="1:20" hidden="1" x14ac:dyDescent="0.35">
      <c r="A82" t="s">
        <v>9</v>
      </c>
      <c r="B82" t="s">
        <v>55</v>
      </c>
      <c r="C82" s="3" t="s">
        <v>144</v>
      </c>
      <c r="D82" t="str">
        <f>_xlfn.XLOOKUP(Table2[[#This Row],[Female_ID ]],'19-20_female_cohort'!I:I,'19-20_female_cohort'!H:H, "No Match")</f>
        <v>2018/2019</v>
      </c>
      <c r="E82">
        <v>1</v>
      </c>
      <c r="F82" s="11">
        <v>43790</v>
      </c>
      <c r="G82">
        <f>_xlfn.XLOOKUP(Table2[[#This Row],[First_egg_lay_date]],'19-20_niwa_temp_data'!B:B,'19-20_niwa_temp_data'!G:G, "No Match")</f>
        <v>16.25176913446656</v>
      </c>
      <c r="H82">
        <v>4</v>
      </c>
      <c r="I82" s="11">
        <v>43793</v>
      </c>
      <c r="J82">
        <f>_xlfn.XLOOKUP(Table2[[#This Row],[Nest_box_ID]],Sheet1!A:A,Sheet1!L:L, "No Match")</f>
        <v>0</v>
      </c>
      <c r="K82" s="11">
        <v>43808</v>
      </c>
      <c r="L82">
        <f>_xlfn.XLOOKUP(Table2[[#This Row],[Nest_box_ID]],Sheet1!A:A,Sheet1!K:K, "No Match")</f>
        <v>15</v>
      </c>
      <c r="M82" s="11">
        <v>43794</v>
      </c>
      <c r="N82" s="16">
        <v>0.5590856481481481</v>
      </c>
      <c r="O82">
        <v>1</v>
      </c>
      <c r="P82">
        <v>67.283333330000005</v>
      </c>
      <c r="Q82" t="s">
        <v>320</v>
      </c>
      <c r="R82">
        <v>365</v>
      </c>
      <c r="S82">
        <f>_xlfn.XLOOKUP(Table2[[#This Row],[Obs_date]],'19-20_niwa_temp_data'!B:B,'19-20_niwa_temp_data'!G:G, "N/A")</f>
        <v>16.725429740368405</v>
      </c>
      <c r="T82">
        <f>_xlfn.XLOOKUP(Table2[[#This Row],[First_egg_lay_date]],'19-20_niwa_temp_data'!B:B,'19-20_niwa_temp_data'!G:G, "No Match")</f>
        <v>16.25176913446656</v>
      </c>
    </row>
    <row r="83" spans="1:20" hidden="1" x14ac:dyDescent="0.35">
      <c r="A83" t="s">
        <v>9</v>
      </c>
      <c r="B83" t="s">
        <v>55</v>
      </c>
      <c r="C83" s="3" t="s">
        <v>144</v>
      </c>
      <c r="D83" t="str">
        <f>_xlfn.XLOOKUP(Table2[[#This Row],[Female_ID ]],'19-20_female_cohort'!I:I,'19-20_female_cohort'!H:H, "No Match")</f>
        <v>2018/2019</v>
      </c>
      <c r="E83">
        <v>1</v>
      </c>
      <c r="F83" s="11">
        <v>43790</v>
      </c>
      <c r="G83">
        <f>_xlfn.XLOOKUP(Table2[[#This Row],[First_egg_lay_date]],'19-20_niwa_temp_data'!B:B,'19-20_niwa_temp_data'!G:G, "No Match")</f>
        <v>16.25176913446656</v>
      </c>
      <c r="H83">
        <v>4</v>
      </c>
      <c r="I83" s="11">
        <v>43793</v>
      </c>
      <c r="J83">
        <f>_xlfn.XLOOKUP(Table2[[#This Row],[Nest_box_ID]],Sheet1!A:A,Sheet1!L:L, "No Match")</f>
        <v>0</v>
      </c>
      <c r="K83" s="11">
        <v>43808</v>
      </c>
      <c r="L83">
        <f>_xlfn.XLOOKUP(Table2[[#This Row],[Nest_box_ID]],Sheet1!A:A,Sheet1!K:K, "No Match")</f>
        <v>15</v>
      </c>
      <c r="M83" s="11">
        <v>43794</v>
      </c>
      <c r="N83" s="16">
        <v>0.56331018518518516</v>
      </c>
      <c r="O83">
        <v>1</v>
      </c>
      <c r="P83">
        <v>67.283333330000005</v>
      </c>
      <c r="Q83" t="s">
        <v>320</v>
      </c>
      <c r="R83">
        <v>1659</v>
      </c>
      <c r="S83">
        <f>_xlfn.XLOOKUP(Table2[[#This Row],[Obs_date]],'19-20_niwa_temp_data'!B:B,'19-20_niwa_temp_data'!G:G, "N/A")</f>
        <v>16.725429740368405</v>
      </c>
      <c r="T83">
        <f>_xlfn.XLOOKUP(Table2[[#This Row],[First_egg_lay_date]],'19-20_niwa_temp_data'!B:B,'19-20_niwa_temp_data'!G:G, "No Match")</f>
        <v>16.25176913446656</v>
      </c>
    </row>
    <row r="84" spans="1:20" x14ac:dyDescent="0.35">
      <c r="A84" t="s">
        <v>9</v>
      </c>
      <c r="B84" t="s">
        <v>55</v>
      </c>
      <c r="C84" s="3" t="s">
        <v>144</v>
      </c>
      <c r="D84" t="str">
        <f>_xlfn.XLOOKUP(Table2[[#This Row],[Female_ID ]],'19-20_female_cohort'!I:I,'19-20_female_cohort'!H:H, "No Match")</f>
        <v>2018/2019</v>
      </c>
      <c r="E84">
        <v>1</v>
      </c>
      <c r="F84" s="11">
        <v>43790</v>
      </c>
      <c r="G84">
        <f>_xlfn.XLOOKUP(Table2[[#This Row],[First_egg_lay_date]],'19-20_niwa_temp_data'!B:B,'19-20_niwa_temp_data'!G:G, "No Match")</f>
        <v>16.25176913446656</v>
      </c>
      <c r="H84">
        <v>4</v>
      </c>
      <c r="I84" s="11">
        <v>43793</v>
      </c>
      <c r="J84">
        <f>_xlfn.XLOOKUP(Table2[[#This Row],[Nest_box_ID]],Sheet1!A:A,Sheet1!L:L, "No Match")</f>
        <v>0</v>
      </c>
      <c r="K84" s="11">
        <v>43808</v>
      </c>
      <c r="L84">
        <f>_xlfn.XLOOKUP(Table2[[#This Row],[Nest_box_ID]],Sheet1!A:A,Sheet1!K:K, "No Match")</f>
        <v>15</v>
      </c>
      <c r="M84" s="11">
        <v>43794</v>
      </c>
      <c r="N84" s="16">
        <v>0.58251157407407406</v>
      </c>
      <c r="O84">
        <v>1</v>
      </c>
      <c r="P84">
        <v>67.283333330000005</v>
      </c>
      <c r="Q84" t="s">
        <v>319</v>
      </c>
      <c r="R84">
        <v>128</v>
      </c>
      <c r="S84">
        <f>_xlfn.XLOOKUP(Table2[[#This Row],[Obs_date]],'19-20_niwa_temp_data'!B:B,'19-20_niwa_temp_data'!G:G, "N/A")</f>
        <v>16.725429740368405</v>
      </c>
      <c r="T84">
        <f>_xlfn.XLOOKUP(Table2[[#This Row],[First_egg_lay_date]],'19-20_niwa_temp_data'!B:B,'19-20_niwa_temp_data'!G:G, "No Match")</f>
        <v>16.25176913446656</v>
      </c>
    </row>
    <row r="85" spans="1:20" hidden="1" x14ac:dyDescent="0.35">
      <c r="A85" t="s">
        <v>9</v>
      </c>
      <c r="B85" t="s">
        <v>55</v>
      </c>
      <c r="C85" s="3" t="s">
        <v>144</v>
      </c>
      <c r="D85" t="str">
        <f>_xlfn.XLOOKUP(Table2[[#This Row],[Female_ID ]],'19-20_female_cohort'!I:I,'19-20_female_cohort'!H:H, "No Match")</f>
        <v>2018/2019</v>
      </c>
      <c r="E85">
        <v>1</v>
      </c>
      <c r="F85" s="11">
        <v>43790</v>
      </c>
      <c r="G85">
        <f>_xlfn.XLOOKUP(Table2[[#This Row],[First_egg_lay_date]],'19-20_niwa_temp_data'!B:B,'19-20_niwa_temp_data'!G:G, "No Match")</f>
        <v>16.25176913446656</v>
      </c>
      <c r="H85">
        <v>4</v>
      </c>
      <c r="I85" s="11">
        <v>43793</v>
      </c>
      <c r="J85">
        <f>_xlfn.XLOOKUP(Table2[[#This Row],[Nest_box_ID]],Sheet1!A:A,Sheet1!L:L, "No Match")</f>
        <v>0</v>
      </c>
      <c r="K85" s="11">
        <v>43808</v>
      </c>
      <c r="L85">
        <f>_xlfn.XLOOKUP(Table2[[#This Row],[Nest_box_ID]],Sheet1!A:A,Sheet1!K:K, "No Match")</f>
        <v>15</v>
      </c>
      <c r="M85" s="11">
        <v>43794</v>
      </c>
      <c r="N85" s="16">
        <v>0.58399305555555558</v>
      </c>
      <c r="O85">
        <v>1</v>
      </c>
      <c r="P85">
        <v>67.283333330000005</v>
      </c>
      <c r="Q85" t="s">
        <v>320</v>
      </c>
      <c r="R85">
        <v>80</v>
      </c>
      <c r="S85">
        <f>_xlfn.XLOOKUP(Table2[[#This Row],[Obs_date]],'19-20_niwa_temp_data'!B:B,'19-20_niwa_temp_data'!G:G, "N/A")</f>
        <v>16.725429740368405</v>
      </c>
      <c r="T85">
        <f>_xlfn.XLOOKUP(Table2[[#This Row],[First_egg_lay_date]],'19-20_niwa_temp_data'!B:B,'19-20_niwa_temp_data'!G:G, "No Match")</f>
        <v>16.25176913446656</v>
      </c>
    </row>
    <row r="86" spans="1:20" hidden="1" x14ac:dyDescent="0.35">
      <c r="A86" t="s">
        <v>9</v>
      </c>
      <c r="B86" t="s">
        <v>55</v>
      </c>
      <c r="C86" s="3" t="s">
        <v>144</v>
      </c>
      <c r="D86" t="str">
        <f>_xlfn.XLOOKUP(Table2[[#This Row],[Female_ID ]],'19-20_female_cohort'!I:I,'19-20_female_cohort'!H:H, "No Match")</f>
        <v>2018/2019</v>
      </c>
      <c r="E86">
        <v>1</v>
      </c>
      <c r="F86" s="11">
        <v>43790</v>
      </c>
      <c r="G86">
        <f>_xlfn.XLOOKUP(Table2[[#This Row],[First_egg_lay_date]],'19-20_niwa_temp_data'!B:B,'19-20_niwa_temp_data'!G:G, "No Match")</f>
        <v>16.25176913446656</v>
      </c>
      <c r="H86">
        <v>4</v>
      </c>
      <c r="I86" s="11">
        <v>43793</v>
      </c>
      <c r="J86">
        <f>_xlfn.XLOOKUP(Table2[[#This Row],[Nest_box_ID]],Sheet1!A:A,Sheet1!L:L, "No Match")</f>
        <v>0</v>
      </c>
      <c r="K86" s="11">
        <v>43808</v>
      </c>
      <c r="L86">
        <f>_xlfn.XLOOKUP(Table2[[#This Row],[Nest_box_ID]],Sheet1!A:A,Sheet1!K:K, "No Match")</f>
        <v>15</v>
      </c>
      <c r="M86" s="11">
        <v>43794</v>
      </c>
      <c r="N86" s="16">
        <v>0.58491898148148147</v>
      </c>
      <c r="O86">
        <v>1</v>
      </c>
      <c r="P86">
        <v>67.283333330000005</v>
      </c>
      <c r="Q86" t="s">
        <v>319</v>
      </c>
      <c r="R86" t="s">
        <v>254</v>
      </c>
      <c r="S86">
        <f>_xlfn.XLOOKUP(Table2[[#This Row],[Obs_date]],'19-20_niwa_temp_data'!B:B,'19-20_niwa_temp_data'!G:G, "N/A")</f>
        <v>16.725429740368405</v>
      </c>
      <c r="T86">
        <f>_xlfn.XLOOKUP(Table2[[#This Row],[First_egg_lay_date]],'19-20_niwa_temp_data'!B:B,'19-20_niwa_temp_data'!G:G, "No Match")</f>
        <v>16.25176913446656</v>
      </c>
    </row>
    <row r="87" spans="1:20" hidden="1" x14ac:dyDescent="0.35">
      <c r="A87" t="s">
        <v>9</v>
      </c>
      <c r="B87" t="s">
        <v>55</v>
      </c>
      <c r="C87" s="3" t="s">
        <v>144</v>
      </c>
      <c r="D87" t="str">
        <f>_xlfn.XLOOKUP(Table2[[#This Row],[Female_ID ]],'19-20_female_cohort'!I:I,'19-20_female_cohort'!H:H, "No Match")</f>
        <v>2018/2019</v>
      </c>
      <c r="E87">
        <v>1</v>
      </c>
      <c r="F87" s="11">
        <v>43790</v>
      </c>
      <c r="G87">
        <f>_xlfn.XLOOKUP(Table2[[#This Row],[First_egg_lay_date]],'19-20_niwa_temp_data'!B:B,'19-20_niwa_temp_data'!G:G, "No Match")</f>
        <v>16.25176913446656</v>
      </c>
      <c r="H87">
        <v>4</v>
      </c>
      <c r="I87" s="11">
        <v>43793</v>
      </c>
      <c r="J87">
        <f>_xlfn.XLOOKUP(Table2[[#This Row],[Nest_box_ID]],Sheet1!A:A,Sheet1!L:L, "No Match")</f>
        <v>0</v>
      </c>
      <c r="K87" s="11">
        <v>43808</v>
      </c>
      <c r="L87">
        <f>_xlfn.XLOOKUP(Table2[[#This Row],[Nest_box_ID]],Sheet1!A:A,Sheet1!K:K, "No Match")</f>
        <v>15</v>
      </c>
      <c r="M87" s="11">
        <v>43805</v>
      </c>
      <c r="N87" s="16">
        <v>0.59097222222222223</v>
      </c>
      <c r="O87">
        <v>13</v>
      </c>
      <c r="P87">
        <v>60</v>
      </c>
      <c r="Q87" t="s">
        <v>320</v>
      </c>
      <c r="R87">
        <v>1084</v>
      </c>
      <c r="S87">
        <f>_xlfn.XLOOKUP(Table2[[#This Row],[Obs_date]],'19-20_niwa_temp_data'!B:B,'19-20_niwa_temp_data'!G:G, "N/A")</f>
        <v>17.764852940567788</v>
      </c>
      <c r="T87">
        <f>_xlfn.XLOOKUP(Table2[[#This Row],[First_egg_lay_date]],'19-20_niwa_temp_data'!B:B,'19-20_niwa_temp_data'!G:G, "No Match")</f>
        <v>16.25176913446656</v>
      </c>
    </row>
    <row r="88" spans="1:20" x14ac:dyDescent="0.35">
      <c r="A88" t="s">
        <v>9</v>
      </c>
      <c r="B88" t="s">
        <v>55</v>
      </c>
      <c r="C88" s="3" t="s">
        <v>144</v>
      </c>
      <c r="D88" t="str">
        <f>_xlfn.XLOOKUP(Table2[[#This Row],[Female_ID ]],'19-20_female_cohort'!I:I,'19-20_female_cohort'!H:H, "No Match")</f>
        <v>2018/2019</v>
      </c>
      <c r="E88">
        <v>1</v>
      </c>
      <c r="F88" s="11">
        <v>43790</v>
      </c>
      <c r="G88">
        <f>_xlfn.XLOOKUP(Table2[[#This Row],[First_egg_lay_date]],'19-20_niwa_temp_data'!B:B,'19-20_niwa_temp_data'!G:G, "No Match")</f>
        <v>16.25176913446656</v>
      </c>
      <c r="H88">
        <v>4</v>
      </c>
      <c r="I88" s="11">
        <v>43793</v>
      </c>
      <c r="J88">
        <f>_xlfn.XLOOKUP(Table2[[#This Row],[Nest_box_ID]],Sheet1!A:A,Sheet1!L:L, "No Match")</f>
        <v>0</v>
      </c>
      <c r="K88" s="11">
        <v>43808</v>
      </c>
      <c r="L88">
        <f>_xlfn.XLOOKUP(Table2[[#This Row],[Nest_box_ID]],Sheet1!A:A,Sheet1!K:K, "No Match")</f>
        <v>15</v>
      </c>
      <c r="M88" s="11">
        <v>43805</v>
      </c>
      <c r="N88" s="16">
        <v>0.60351851851851857</v>
      </c>
      <c r="O88">
        <v>13</v>
      </c>
      <c r="P88">
        <v>60</v>
      </c>
      <c r="Q88" t="s">
        <v>319</v>
      </c>
      <c r="R88">
        <v>156</v>
      </c>
      <c r="S88">
        <f>_xlfn.XLOOKUP(Table2[[#This Row],[Obs_date]],'19-20_niwa_temp_data'!B:B,'19-20_niwa_temp_data'!G:G, "N/A")</f>
        <v>17.764852940567788</v>
      </c>
      <c r="T88">
        <f>_xlfn.XLOOKUP(Table2[[#This Row],[First_egg_lay_date]],'19-20_niwa_temp_data'!B:B,'19-20_niwa_temp_data'!G:G, "No Match")</f>
        <v>16.25176913446656</v>
      </c>
    </row>
    <row r="89" spans="1:20" hidden="1" x14ac:dyDescent="0.35">
      <c r="A89" t="s">
        <v>9</v>
      </c>
      <c r="B89" t="s">
        <v>55</v>
      </c>
      <c r="C89" s="3" t="s">
        <v>144</v>
      </c>
      <c r="D89" t="str">
        <f>_xlfn.XLOOKUP(Table2[[#This Row],[Female_ID ]],'19-20_female_cohort'!I:I,'19-20_female_cohort'!H:H, "No Match")</f>
        <v>2018/2019</v>
      </c>
      <c r="E89">
        <v>1</v>
      </c>
      <c r="F89" s="11">
        <v>43790</v>
      </c>
      <c r="G89">
        <f>_xlfn.XLOOKUP(Table2[[#This Row],[First_egg_lay_date]],'19-20_niwa_temp_data'!B:B,'19-20_niwa_temp_data'!G:G, "No Match")</f>
        <v>16.25176913446656</v>
      </c>
      <c r="H89">
        <v>4</v>
      </c>
      <c r="I89" s="11">
        <v>43793</v>
      </c>
      <c r="J89">
        <f>_xlfn.XLOOKUP(Table2[[#This Row],[Nest_box_ID]],Sheet1!A:A,Sheet1!L:L, "No Match")</f>
        <v>0</v>
      </c>
      <c r="K89" s="11">
        <v>43808</v>
      </c>
      <c r="L89">
        <f>_xlfn.XLOOKUP(Table2[[#This Row],[Nest_box_ID]],Sheet1!A:A,Sheet1!K:K, "No Match")</f>
        <v>15</v>
      </c>
      <c r="M89" s="11">
        <v>43805</v>
      </c>
      <c r="N89" s="16">
        <v>0.60532407407407407</v>
      </c>
      <c r="O89">
        <v>13</v>
      </c>
      <c r="P89">
        <v>60</v>
      </c>
      <c r="Q89" t="s">
        <v>320</v>
      </c>
      <c r="R89">
        <v>68</v>
      </c>
      <c r="S89">
        <f>_xlfn.XLOOKUP(Table2[[#This Row],[Obs_date]],'19-20_niwa_temp_data'!B:B,'19-20_niwa_temp_data'!G:G, "N/A")</f>
        <v>17.764852940567788</v>
      </c>
      <c r="T89">
        <f>_xlfn.XLOOKUP(Table2[[#This Row],[First_egg_lay_date]],'19-20_niwa_temp_data'!B:B,'19-20_niwa_temp_data'!G:G, "No Match")</f>
        <v>16.25176913446656</v>
      </c>
    </row>
    <row r="90" spans="1:20" x14ac:dyDescent="0.35">
      <c r="A90" t="s">
        <v>9</v>
      </c>
      <c r="B90" t="s">
        <v>55</v>
      </c>
      <c r="C90" s="3" t="s">
        <v>144</v>
      </c>
      <c r="D90" t="str">
        <f>_xlfn.XLOOKUP(Table2[[#This Row],[Female_ID ]],'19-20_female_cohort'!I:I,'19-20_female_cohort'!H:H, "No Match")</f>
        <v>2018/2019</v>
      </c>
      <c r="E90">
        <v>1</v>
      </c>
      <c r="F90" s="11">
        <v>43790</v>
      </c>
      <c r="G90">
        <f>_xlfn.XLOOKUP(Table2[[#This Row],[First_egg_lay_date]],'19-20_niwa_temp_data'!B:B,'19-20_niwa_temp_data'!G:G, "No Match")</f>
        <v>16.25176913446656</v>
      </c>
      <c r="H90">
        <v>4</v>
      </c>
      <c r="I90" s="11">
        <v>43793</v>
      </c>
      <c r="J90">
        <f>_xlfn.XLOOKUP(Table2[[#This Row],[Nest_box_ID]],Sheet1!A:A,Sheet1!L:L, "No Match")</f>
        <v>0</v>
      </c>
      <c r="K90" s="11">
        <v>43808</v>
      </c>
      <c r="L90">
        <f>_xlfn.XLOOKUP(Table2[[#This Row],[Nest_box_ID]],Sheet1!A:A,Sheet1!K:K, "No Match")</f>
        <v>15</v>
      </c>
      <c r="M90" s="11">
        <v>43805</v>
      </c>
      <c r="N90" s="16">
        <v>0.60611111111111116</v>
      </c>
      <c r="O90">
        <v>13</v>
      </c>
      <c r="P90">
        <v>60</v>
      </c>
      <c r="Q90" t="s">
        <v>319</v>
      </c>
      <c r="R90">
        <v>40</v>
      </c>
      <c r="S90">
        <f>_xlfn.XLOOKUP(Table2[[#This Row],[Obs_date]],'19-20_niwa_temp_data'!B:B,'19-20_niwa_temp_data'!G:G, "N/A")</f>
        <v>17.764852940567788</v>
      </c>
      <c r="T90">
        <f>_xlfn.XLOOKUP(Table2[[#This Row],[First_egg_lay_date]],'19-20_niwa_temp_data'!B:B,'19-20_niwa_temp_data'!G:G, "No Match")</f>
        <v>16.25176913446656</v>
      </c>
    </row>
    <row r="91" spans="1:20" hidden="1" x14ac:dyDescent="0.35">
      <c r="A91" t="s">
        <v>9</v>
      </c>
      <c r="B91" t="s">
        <v>55</v>
      </c>
      <c r="C91" s="3" t="s">
        <v>144</v>
      </c>
      <c r="D91" t="str">
        <f>_xlfn.XLOOKUP(Table2[[#This Row],[Female_ID ]],'19-20_female_cohort'!I:I,'19-20_female_cohort'!H:H, "No Match")</f>
        <v>2018/2019</v>
      </c>
      <c r="E91">
        <v>1</v>
      </c>
      <c r="F91" s="11">
        <v>43790</v>
      </c>
      <c r="G91">
        <f>_xlfn.XLOOKUP(Table2[[#This Row],[First_egg_lay_date]],'19-20_niwa_temp_data'!B:B,'19-20_niwa_temp_data'!G:G, "No Match")</f>
        <v>16.25176913446656</v>
      </c>
      <c r="H91">
        <v>4</v>
      </c>
      <c r="I91" s="11">
        <v>43793</v>
      </c>
      <c r="J91">
        <f>_xlfn.XLOOKUP(Table2[[#This Row],[Nest_box_ID]],Sheet1!A:A,Sheet1!L:L, "No Match")</f>
        <v>0</v>
      </c>
      <c r="K91" s="11">
        <v>43808</v>
      </c>
      <c r="L91">
        <f>_xlfn.XLOOKUP(Table2[[#This Row],[Nest_box_ID]],Sheet1!A:A,Sheet1!K:K, "No Match")</f>
        <v>15</v>
      </c>
      <c r="M91" s="11">
        <v>43805</v>
      </c>
      <c r="N91" s="16">
        <v>0.60657407407407404</v>
      </c>
      <c r="O91">
        <v>13</v>
      </c>
      <c r="P91">
        <v>60</v>
      </c>
      <c r="Q91" t="s">
        <v>320</v>
      </c>
      <c r="R91">
        <v>241</v>
      </c>
      <c r="S91">
        <f>_xlfn.XLOOKUP(Table2[[#This Row],[Obs_date]],'19-20_niwa_temp_data'!B:B,'19-20_niwa_temp_data'!G:G, "N/A")</f>
        <v>17.764852940567788</v>
      </c>
      <c r="T91">
        <f>_xlfn.XLOOKUP(Table2[[#This Row],[First_egg_lay_date]],'19-20_niwa_temp_data'!B:B,'19-20_niwa_temp_data'!G:G, "No Match")</f>
        <v>16.25176913446656</v>
      </c>
    </row>
    <row r="92" spans="1:20" x14ac:dyDescent="0.35">
      <c r="A92" t="s">
        <v>9</v>
      </c>
      <c r="B92" t="s">
        <v>55</v>
      </c>
      <c r="C92" s="3" t="s">
        <v>144</v>
      </c>
      <c r="D92" t="str">
        <f>_xlfn.XLOOKUP(Table2[[#This Row],[Female_ID ]],'19-20_female_cohort'!I:I,'19-20_female_cohort'!H:H, "No Match")</f>
        <v>2018/2019</v>
      </c>
      <c r="E92">
        <v>1</v>
      </c>
      <c r="F92" s="11">
        <v>43790</v>
      </c>
      <c r="G92">
        <f>_xlfn.XLOOKUP(Table2[[#This Row],[First_egg_lay_date]],'19-20_niwa_temp_data'!B:B,'19-20_niwa_temp_data'!G:G, "No Match")</f>
        <v>16.25176913446656</v>
      </c>
      <c r="H92">
        <v>4</v>
      </c>
      <c r="I92" s="11">
        <v>43793</v>
      </c>
      <c r="J92">
        <f>_xlfn.XLOOKUP(Table2[[#This Row],[Nest_box_ID]],Sheet1!A:A,Sheet1!L:L, "No Match")</f>
        <v>0</v>
      </c>
      <c r="K92" s="11">
        <v>43808</v>
      </c>
      <c r="L92">
        <f>_xlfn.XLOOKUP(Table2[[#This Row],[Nest_box_ID]],Sheet1!A:A,Sheet1!K:K, "No Match")</f>
        <v>15</v>
      </c>
      <c r="M92" s="11">
        <v>43805</v>
      </c>
      <c r="N92" s="16">
        <v>0.60936342592592596</v>
      </c>
      <c r="O92">
        <v>13</v>
      </c>
      <c r="P92">
        <v>60</v>
      </c>
      <c r="Q92" t="s">
        <v>319</v>
      </c>
      <c r="R92">
        <v>120</v>
      </c>
      <c r="S92">
        <f>_xlfn.XLOOKUP(Table2[[#This Row],[Obs_date]],'19-20_niwa_temp_data'!B:B,'19-20_niwa_temp_data'!G:G, "N/A")</f>
        <v>17.764852940567788</v>
      </c>
      <c r="T92">
        <f>_xlfn.XLOOKUP(Table2[[#This Row],[First_egg_lay_date]],'19-20_niwa_temp_data'!B:B,'19-20_niwa_temp_data'!G:G, "No Match")</f>
        <v>16.25176913446656</v>
      </c>
    </row>
    <row r="93" spans="1:20" hidden="1" x14ac:dyDescent="0.35">
      <c r="A93" t="s">
        <v>9</v>
      </c>
      <c r="B93" t="s">
        <v>55</v>
      </c>
      <c r="C93" s="3" t="s">
        <v>144</v>
      </c>
      <c r="D93" t="str">
        <f>_xlfn.XLOOKUP(Table2[[#This Row],[Female_ID ]],'19-20_female_cohort'!I:I,'19-20_female_cohort'!H:H, "No Match")</f>
        <v>2018/2019</v>
      </c>
      <c r="E93">
        <v>1</v>
      </c>
      <c r="F93" s="11">
        <v>43790</v>
      </c>
      <c r="G93">
        <f>_xlfn.XLOOKUP(Table2[[#This Row],[First_egg_lay_date]],'19-20_niwa_temp_data'!B:B,'19-20_niwa_temp_data'!G:G, "No Match")</f>
        <v>16.25176913446656</v>
      </c>
      <c r="H93">
        <v>4</v>
      </c>
      <c r="I93" s="11">
        <v>43793</v>
      </c>
      <c r="J93">
        <f>_xlfn.XLOOKUP(Table2[[#This Row],[Nest_box_ID]],Sheet1!A:A,Sheet1!L:L, "No Match")</f>
        <v>0</v>
      </c>
      <c r="K93" s="11">
        <v>43808</v>
      </c>
      <c r="L93">
        <f>_xlfn.XLOOKUP(Table2[[#This Row],[Nest_box_ID]],Sheet1!A:A,Sheet1!K:K, "No Match")</f>
        <v>15</v>
      </c>
      <c r="M93" s="11">
        <v>43805</v>
      </c>
      <c r="N93" s="16">
        <v>0.61075231481481485</v>
      </c>
      <c r="O93">
        <v>13</v>
      </c>
      <c r="P93">
        <v>60</v>
      </c>
      <c r="Q93" t="s">
        <v>320</v>
      </c>
      <c r="R93">
        <v>522</v>
      </c>
      <c r="S93">
        <f>_xlfn.XLOOKUP(Table2[[#This Row],[Obs_date]],'19-20_niwa_temp_data'!B:B,'19-20_niwa_temp_data'!G:G, "N/A")</f>
        <v>17.764852940567788</v>
      </c>
      <c r="T93">
        <f>_xlfn.XLOOKUP(Table2[[#This Row],[First_egg_lay_date]],'19-20_niwa_temp_data'!B:B,'19-20_niwa_temp_data'!G:G, "No Match")</f>
        <v>16.25176913446656</v>
      </c>
    </row>
    <row r="94" spans="1:20" x14ac:dyDescent="0.35">
      <c r="A94" t="s">
        <v>9</v>
      </c>
      <c r="B94" t="s">
        <v>55</v>
      </c>
      <c r="C94" s="3" t="s">
        <v>144</v>
      </c>
      <c r="D94" t="str">
        <f>_xlfn.XLOOKUP(Table2[[#This Row],[Female_ID ]],'19-20_female_cohort'!I:I,'19-20_female_cohort'!H:H, "No Match")</f>
        <v>2018/2019</v>
      </c>
      <c r="E94">
        <v>1</v>
      </c>
      <c r="F94" s="11">
        <v>43790</v>
      </c>
      <c r="G94">
        <f>_xlfn.XLOOKUP(Table2[[#This Row],[First_egg_lay_date]],'19-20_niwa_temp_data'!B:B,'19-20_niwa_temp_data'!G:G, "No Match")</f>
        <v>16.25176913446656</v>
      </c>
      <c r="H94">
        <v>4</v>
      </c>
      <c r="I94" s="11">
        <v>43793</v>
      </c>
      <c r="J94">
        <f>_xlfn.XLOOKUP(Table2[[#This Row],[Nest_box_ID]],Sheet1!A:A,Sheet1!L:L, "No Match")</f>
        <v>0</v>
      </c>
      <c r="K94" s="11">
        <v>43808</v>
      </c>
      <c r="L94">
        <f>_xlfn.XLOOKUP(Table2[[#This Row],[Nest_box_ID]],Sheet1!A:A,Sheet1!K:K, "No Match")</f>
        <v>15</v>
      </c>
      <c r="M94" s="11">
        <v>43805</v>
      </c>
      <c r="N94" s="16">
        <v>0.61679398148148146</v>
      </c>
      <c r="O94">
        <v>13</v>
      </c>
      <c r="P94">
        <v>60</v>
      </c>
      <c r="Q94" t="s">
        <v>319</v>
      </c>
      <c r="R94">
        <v>528</v>
      </c>
      <c r="S94">
        <f>_xlfn.XLOOKUP(Table2[[#This Row],[Obs_date]],'19-20_niwa_temp_data'!B:B,'19-20_niwa_temp_data'!G:G, "N/A")</f>
        <v>17.764852940567788</v>
      </c>
      <c r="T94">
        <f>_xlfn.XLOOKUP(Table2[[#This Row],[First_egg_lay_date]],'19-20_niwa_temp_data'!B:B,'19-20_niwa_temp_data'!G:G, "No Match")</f>
        <v>16.25176913446656</v>
      </c>
    </row>
    <row r="95" spans="1:20" hidden="1" x14ac:dyDescent="0.35">
      <c r="A95" t="s">
        <v>9</v>
      </c>
      <c r="B95" t="s">
        <v>55</v>
      </c>
      <c r="C95" s="3" t="s">
        <v>144</v>
      </c>
      <c r="D95" t="str">
        <f>_xlfn.XLOOKUP(Table2[[#This Row],[Female_ID ]],'19-20_female_cohort'!I:I,'19-20_female_cohort'!H:H, "No Match")</f>
        <v>2018/2019</v>
      </c>
      <c r="E95">
        <v>1</v>
      </c>
      <c r="F95" s="11">
        <v>43790</v>
      </c>
      <c r="G95">
        <f>_xlfn.XLOOKUP(Table2[[#This Row],[First_egg_lay_date]],'19-20_niwa_temp_data'!B:B,'19-20_niwa_temp_data'!G:G, "No Match")</f>
        <v>16.25176913446656</v>
      </c>
      <c r="H95">
        <v>4</v>
      </c>
      <c r="I95" s="11">
        <v>43793</v>
      </c>
      <c r="J95">
        <f>_xlfn.XLOOKUP(Table2[[#This Row],[Nest_box_ID]],Sheet1!A:A,Sheet1!L:L, "No Match")</f>
        <v>0</v>
      </c>
      <c r="K95" s="11">
        <v>43808</v>
      </c>
      <c r="L95">
        <f>_xlfn.XLOOKUP(Table2[[#This Row],[Nest_box_ID]],Sheet1!A:A,Sheet1!K:K, "No Match")</f>
        <v>15</v>
      </c>
      <c r="M95" s="11">
        <v>43805</v>
      </c>
      <c r="N95" s="16">
        <v>0.62290509259259264</v>
      </c>
      <c r="O95">
        <v>13</v>
      </c>
      <c r="P95">
        <v>60</v>
      </c>
      <c r="Q95" t="s">
        <v>320</v>
      </c>
      <c r="R95">
        <v>123</v>
      </c>
      <c r="S95">
        <f>_xlfn.XLOOKUP(Table2[[#This Row],[Obs_date]],'19-20_niwa_temp_data'!B:B,'19-20_niwa_temp_data'!G:G, "N/A")</f>
        <v>17.764852940567788</v>
      </c>
      <c r="T95">
        <f>_xlfn.XLOOKUP(Table2[[#This Row],[First_egg_lay_date]],'19-20_niwa_temp_data'!B:B,'19-20_niwa_temp_data'!G:G, "No Match")</f>
        <v>16.25176913446656</v>
      </c>
    </row>
    <row r="96" spans="1:20" x14ac:dyDescent="0.35">
      <c r="A96" t="s">
        <v>9</v>
      </c>
      <c r="B96" t="s">
        <v>55</v>
      </c>
      <c r="C96" s="3" t="s">
        <v>144</v>
      </c>
      <c r="D96" t="str">
        <f>_xlfn.XLOOKUP(Table2[[#This Row],[Female_ID ]],'19-20_female_cohort'!I:I,'19-20_female_cohort'!H:H, "No Match")</f>
        <v>2018/2019</v>
      </c>
      <c r="E96">
        <v>1</v>
      </c>
      <c r="F96" s="11">
        <v>43790</v>
      </c>
      <c r="G96">
        <f>_xlfn.XLOOKUP(Table2[[#This Row],[First_egg_lay_date]],'19-20_niwa_temp_data'!B:B,'19-20_niwa_temp_data'!G:G, "No Match")</f>
        <v>16.25176913446656</v>
      </c>
      <c r="H96">
        <v>4</v>
      </c>
      <c r="I96" s="11">
        <v>43793</v>
      </c>
      <c r="J96">
        <f>_xlfn.XLOOKUP(Table2[[#This Row],[Nest_box_ID]],Sheet1!A:A,Sheet1!L:L, "No Match")</f>
        <v>0</v>
      </c>
      <c r="K96" s="11">
        <v>43808</v>
      </c>
      <c r="L96">
        <f>_xlfn.XLOOKUP(Table2[[#This Row],[Nest_box_ID]],Sheet1!A:A,Sheet1!K:K, "No Match")</f>
        <v>15</v>
      </c>
      <c r="M96" s="11">
        <v>43805</v>
      </c>
      <c r="N96" s="16">
        <v>0.62432870370370375</v>
      </c>
      <c r="O96">
        <v>13</v>
      </c>
      <c r="P96">
        <v>60</v>
      </c>
      <c r="Q96" t="s">
        <v>319</v>
      </c>
      <c r="R96">
        <v>142</v>
      </c>
      <c r="S96">
        <f>_xlfn.XLOOKUP(Table2[[#This Row],[Obs_date]],'19-20_niwa_temp_data'!B:B,'19-20_niwa_temp_data'!G:G, "N/A")</f>
        <v>17.764852940567788</v>
      </c>
      <c r="T96">
        <f>_xlfn.XLOOKUP(Table2[[#This Row],[First_egg_lay_date]],'19-20_niwa_temp_data'!B:B,'19-20_niwa_temp_data'!G:G, "No Match")</f>
        <v>16.25176913446656</v>
      </c>
    </row>
    <row r="97" spans="1:20" hidden="1" x14ac:dyDescent="0.35">
      <c r="A97" t="s">
        <v>9</v>
      </c>
      <c r="B97" t="s">
        <v>55</v>
      </c>
      <c r="C97" s="3" t="s">
        <v>144</v>
      </c>
      <c r="D97" t="str">
        <f>_xlfn.XLOOKUP(Table2[[#This Row],[Female_ID ]],'19-20_female_cohort'!I:I,'19-20_female_cohort'!H:H, "No Match")</f>
        <v>2018/2019</v>
      </c>
      <c r="E97">
        <v>1</v>
      </c>
      <c r="F97" s="11">
        <v>43790</v>
      </c>
      <c r="G97">
        <f>_xlfn.XLOOKUP(Table2[[#This Row],[First_egg_lay_date]],'19-20_niwa_temp_data'!B:B,'19-20_niwa_temp_data'!G:G, "No Match")</f>
        <v>16.25176913446656</v>
      </c>
      <c r="H97">
        <v>4</v>
      </c>
      <c r="I97" s="11">
        <v>43793</v>
      </c>
      <c r="J97">
        <f>_xlfn.XLOOKUP(Table2[[#This Row],[Nest_box_ID]],Sheet1!A:A,Sheet1!L:L, "No Match")</f>
        <v>0</v>
      </c>
      <c r="K97" s="11">
        <v>43808</v>
      </c>
      <c r="L97">
        <f>_xlfn.XLOOKUP(Table2[[#This Row],[Nest_box_ID]],Sheet1!A:A,Sheet1!K:K, "No Match")</f>
        <v>15</v>
      </c>
      <c r="M97" s="11">
        <v>43805</v>
      </c>
      <c r="N97" s="16">
        <v>0.62597222222222226</v>
      </c>
      <c r="O97">
        <v>13</v>
      </c>
      <c r="P97">
        <v>60</v>
      </c>
      <c r="Q97" t="s">
        <v>320</v>
      </c>
      <c r="R97">
        <v>183</v>
      </c>
      <c r="S97">
        <f>_xlfn.XLOOKUP(Table2[[#This Row],[Obs_date]],'19-20_niwa_temp_data'!B:B,'19-20_niwa_temp_data'!G:G, "N/A")</f>
        <v>17.764852940567788</v>
      </c>
      <c r="T97">
        <f>_xlfn.XLOOKUP(Table2[[#This Row],[First_egg_lay_date]],'19-20_niwa_temp_data'!B:B,'19-20_niwa_temp_data'!G:G, "No Match")</f>
        <v>16.25176913446656</v>
      </c>
    </row>
    <row r="98" spans="1:20" x14ac:dyDescent="0.35">
      <c r="A98" t="s">
        <v>9</v>
      </c>
      <c r="B98" t="s">
        <v>55</v>
      </c>
      <c r="C98" s="3" t="s">
        <v>144</v>
      </c>
      <c r="D98" t="str">
        <f>_xlfn.XLOOKUP(Table2[[#This Row],[Female_ID ]],'19-20_female_cohort'!I:I,'19-20_female_cohort'!H:H, "No Match")</f>
        <v>2018/2019</v>
      </c>
      <c r="E98">
        <v>1</v>
      </c>
      <c r="F98" s="11">
        <v>43790</v>
      </c>
      <c r="G98">
        <f>_xlfn.XLOOKUP(Table2[[#This Row],[First_egg_lay_date]],'19-20_niwa_temp_data'!B:B,'19-20_niwa_temp_data'!G:G, "No Match")</f>
        <v>16.25176913446656</v>
      </c>
      <c r="H98">
        <v>4</v>
      </c>
      <c r="I98" s="11">
        <v>43793</v>
      </c>
      <c r="J98">
        <f>_xlfn.XLOOKUP(Table2[[#This Row],[Nest_box_ID]],Sheet1!A:A,Sheet1!L:L, "No Match")</f>
        <v>0</v>
      </c>
      <c r="K98" s="11">
        <v>43808</v>
      </c>
      <c r="L98">
        <f>_xlfn.XLOOKUP(Table2[[#This Row],[Nest_box_ID]],Sheet1!A:A,Sheet1!K:K, "No Match")</f>
        <v>15</v>
      </c>
      <c r="M98" s="11">
        <v>43805</v>
      </c>
      <c r="N98" s="16">
        <v>0.62809027777777782</v>
      </c>
      <c r="O98">
        <v>13</v>
      </c>
      <c r="P98">
        <v>60</v>
      </c>
      <c r="Q98" t="s">
        <v>319</v>
      </c>
      <c r="R98">
        <v>286</v>
      </c>
      <c r="S98">
        <f>_xlfn.XLOOKUP(Table2[[#This Row],[Obs_date]],'19-20_niwa_temp_data'!B:B,'19-20_niwa_temp_data'!G:G, "N/A")</f>
        <v>17.764852940567788</v>
      </c>
      <c r="T98">
        <f>_xlfn.XLOOKUP(Table2[[#This Row],[First_egg_lay_date]],'19-20_niwa_temp_data'!B:B,'19-20_niwa_temp_data'!G:G, "No Match")</f>
        <v>16.25176913446656</v>
      </c>
    </row>
    <row r="99" spans="1:20" hidden="1" x14ac:dyDescent="0.35">
      <c r="A99" t="s">
        <v>9</v>
      </c>
      <c r="B99" t="s">
        <v>55</v>
      </c>
      <c r="C99" s="3" t="s">
        <v>144</v>
      </c>
      <c r="D99" t="str">
        <f>_xlfn.XLOOKUP(Table2[[#This Row],[Female_ID ]],'19-20_female_cohort'!I:I,'19-20_female_cohort'!H:H, "No Match")</f>
        <v>2018/2019</v>
      </c>
      <c r="E99">
        <v>1</v>
      </c>
      <c r="F99" s="11">
        <v>43790</v>
      </c>
      <c r="G99">
        <f>_xlfn.XLOOKUP(Table2[[#This Row],[First_egg_lay_date]],'19-20_niwa_temp_data'!B:B,'19-20_niwa_temp_data'!G:G, "No Match")</f>
        <v>16.25176913446656</v>
      </c>
      <c r="H99">
        <v>4</v>
      </c>
      <c r="I99" s="11">
        <v>43793</v>
      </c>
      <c r="J99">
        <f>_xlfn.XLOOKUP(Table2[[#This Row],[Nest_box_ID]],Sheet1!A:A,Sheet1!L:L, "No Match")</f>
        <v>0</v>
      </c>
      <c r="K99" s="11">
        <v>43808</v>
      </c>
      <c r="L99">
        <f>_xlfn.XLOOKUP(Table2[[#This Row],[Nest_box_ID]],Sheet1!A:A,Sheet1!K:K, "No Match")</f>
        <v>15</v>
      </c>
      <c r="M99" s="11">
        <v>43805</v>
      </c>
      <c r="N99" s="16">
        <v>0.63140046296296293</v>
      </c>
      <c r="O99">
        <v>13</v>
      </c>
      <c r="P99">
        <v>60</v>
      </c>
      <c r="Q99" t="s">
        <v>320</v>
      </c>
      <c r="R99" t="s">
        <v>254</v>
      </c>
      <c r="S99">
        <f>_xlfn.XLOOKUP(Table2[[#This Row],[Obs_date]],'19-20_niwa_temp_data'!B:B,'19-20_niwa_temp_data'!G:G, "N/A")</f>
        <v>17.764852940567788</v>
      </c>
      <c r="T99">
        <f>_xlfn.XLOOKUP(Table2[[#This Row],[First_egg_lay_date]],'19-20_niwa_temp_data'!B:B,'19-20_niwa_temp_data'!G:G, "No Match")</f>
        <v>16.25176913446656</v>
      </c>
    </row>
    <row r="100" spans="1:20" hidden="1" x14ac:dyDescent="0.35">
      <c r="A100" t="s">
        <v>9</v>
      </c>
      <c r="B100" t="s">
        <v>68</v>
      </c>
      <c r="C100" s="3" t="s">
        <v>157</v>
      </c>
      <c r="D100" t="str">
        <f>_xlfn.XLOOKUP(Table2[[#This Row],[Female_ID ]],'19-20_female_cohort'!I:I,'19-20_female_cohort'!H:H, "No Match")</f>
        <v>2017/2018</v>
      </c>
      <c r="E100">
        <v>2</v>
      </c>
      <c r="F100" s="11">
        <v>43802</v>
      </c>
      <c r="G100">
        <f>_xlfn.XLOOKUP(Table2[[#This Row],[First_egg_lay_date]],'19-20_niwa_temp_data'!B:B,'19-20_niwa_temp_data'!G:G, "No Match")</f>
        <v>18.244999314880776</v>
      </c>
      <c r="H100">
        <v>3</v>
      </c>
      <c r="I100" s="11">
        <v>43804</v>
      </c>
      <c r="J100">
        <f>_xlfn.XLOOKUP(Table2[[#This Row],[Nest_box_ID]],Sheet1!A:A,Sheet1!L:L, "No Match")</f>
        <v>0</v>
      </c>
      <c r="K100" s="11">
        <v>43819</v>
      </c>
      <c r="L100">
        <f>_xlfn.XLOOKUP(Table2[[#This Row],[Nest_box_ID]],Sheet1!A:A,Sheet1!K:K, "No Match")</f>
        <v>15</v>
      </c>
      <c r="M100" s="11">
        <v>43805</v>
      </c>
      <c r="N100" s="16">
        <v>0.65504629629629629</v>
      </c>
      <c r="O100">
        <v>1</v>
      </c>
      <c r="P100">
        <v>77</v>
      </c>
      <c r="Q100" t="s">
        <v>320</v>
      </c>
      <c r="R100">
        <v>381</v>
      </c>
      <c r="S100">
        <f>_xlfn.XLOOKUP(Table2[[#This Row],[Obs_date]],'19-20_niwa_temp_data'!B:B,'19-20_niwa_temp_data'!G:G, "N/A")</f>
        <v>17.764852940567788</v>
      </c>
      <c r="T100">
        <f>_xlfn.XLOOKUP(Table2[[#This Row],[First_egg_lay_date]],'19-20_niwa_temp_data'!B:B,'19-20_niwa_temp_data'!G:G, "No Match")</f>
        <v>18.244999314880776</v>
      </c>
    </row>
    <row r="101" spans="1:20" x14ac:dyDescent="0.35">
      <c r="A101" t="s">
        <v>9</v>
      </c>
      <c r="B101" t="s">
        <v>68</v>
      </c>
      <c r="C101" s="3" t="s">
        <v>157</v>
      </c>
      <c r="D101" t="str">
        <f>_xlfn.XLOOKUP(Table2[[#This Row],[Female_ID ]],'19-20_female_cohort'!I:I,'19-20_female_cohort'!H:H, "No Match")</f>
        <v>2017/2018</v>
      </c>
      <c r="E101">
        <v>2</v>
      </c>
      <c r="F101" s="11">
        <v>43802</v>
      </c>
      <c r="G101">
        <f>_xlfn.XLOOKUP(Table2[[#This Row],[First_egg_lay_date]],'19-20_niwa_temp_data'!B:B,'19-20_niwa_temp_data'!G:G, "No Match")</f>
        <v>18.244999314880776</v>
      </c>
      <c r="H101">
        <v>3</v>
      </c>
      <c r="I101" s="11">
        <v>43804</v>
      </c>
      <c r="J101">
        <f>_xlfn.XLOOKUP(Table2[[#This Row],[Nest_box_ID]],Sheet1!A:A,Sheet1!L:L, "No Match")</f>
        <v>0</v>
      </c>
      <c r="K101" s="11">
        <v>43819</v>
      </c>
      <c r="L101">
        <f>_xlfn.XLOOKUP(Table2[[#This Row],[Nest_box_ID]],Sheet1!A:A,Sheet1!K:K, "No Match")</f>
        <v>15</v>
      </c>
      <c r="M101" s="11">
        <v>43805</v>
      </c>
      <c r="N101" s="16">
        <v>0.65945601851851854</v>
      </c>
      <c r="O101">
        <v>1</v>
      </c>
      <c r="P101">
        <v>77</v>
      </c>
      <c r="Q101" t="s">
        <v>319</v>
      </c>
      <c r="R101">
        <v>434</v>
      </c>
      <c r="S101">
        <f>_xlfn.XLOOKUP(Table2[[#This Row],[Obs_date]],'19-20_niwa_temp_data'!B:B,'19-20_niwa_temp_data'!G:G, "N/A")</f>
        <v>17.764852940567788</v>
      </c>
      <c r="T101">
        <f>_xlfn.XLOOKUP(Table2[[#This Row],[First_egg_lay_date]],'19-20_niwa_temp_data'!B:B,'19-20_niwa_temp_data'!G:G, "No Match")</f>
        <v>18.244999314880776</v>
      </c>
    </row>
    <row r="102" spans="1:20" hidden="1" x14ac:dyDescent="0.35">
      <c r="A102" t="s">
        <v>9</v>
      </c>
      <c r="B102" t="s">
        <v>68</v>
      </c>
      <c r="C102" s="3" t="s">
        <v>157</v>
      </c>
      <c r="D102" t="str">
        <f>_xlfn.XLOOKUP(Table2[[#This Row],[Female_ID ]],'19-20_female_cohort'!I:I,'19-20_female_cohort'!H:H, "No Match")</f>
        <v>2017/2018</v>
      </c>
      <c r="E102">
        <v>2</v>
      </c>
      <c r="F102" s="11">
        <v>43802</v>
      </c>
      <c r="G102">
        <f>_xlfn.XLOOKUP(Table2[[#This Row],[First_egg_lay_date]],'19-20_niwa_temp_data'!B:B,'19-20_niwa_temp_data'!G:G, "No Match")</f>
        <v>18.244999314880776</v>
      </c>
      <c r="H102">
        <v>3</v>
      </c>
      <c r="I102" s="11">
        <v>43804</v>
      </c>
      <c r="J102">
        <f>_xlfn.XLOOKUP(Table2[[#This Row],[Nest_box_ID]],Sheet1!A:A,Sheet1!L:L, "No Match")</f>
        <v>0</v>
      </c>
      <c r="K102" s="11">
        <v>43819</v>
      </c>
      <c r="L102">
        <f>_xlfn.XLOOKUP(Table2[[#This Row],[Nest_box_ID]],Sheet1!A:A,Sheet1!K:K, "No Match")</f>
        <v>15</v>
      </c>
      <c r="M102" s="11">
        <v>43805</v>
      </c>
      <c r="N102" s="16">
        <v>0.66447916666666662</v>
      </c>
      <c r="O102">
        <v>1</v>
      </c>
      <c r="P102">
        <v>77</v>
      </c>
      <c r="Q102" t="s">
        <v>320</v>
      </c>
      <c r="R102">
        <v>940</v>
      </c>
      <c r="S102">
        <f>_xlfn.XLOOKUP(Table2[[#This Row],[Obs_date]],'19-20_niwa_temp_data'!B:B,'19-20_niwa_temp_data'!G:G, "N/A")</f>
        <v>17.764852940567788</v>
      </c>
      <c r="T102">
        <f>_xlfn.XLOOKUP(Table2[[#This Row],[First_egg_lay_date]],'19-20_niwa_temp_data'!B:B,'19-20_niwa_temp_data'!G:G, "No Match")</f>
        <v>18.244999314880776</v>
      </c>
    </row>
    <row r="103" spans="1:20" x14ac:dyDescent="0.35">
      <c r="A103" t="s">
        <v>9</v>
      </c>
      <c r="B103" t="s">
        <v>68</v>
      </c>
      <c r="C103" s="3" t="s">
        <v>157</v>
      </c>
      <c r="D103" t="str">
        <f>_xlfn.XLOOKUP(Table2[[#This Row],[Female_ID ]],'19-20_female_cohort'!I:I,'19-20_female_cohort'!H:H, "No Match")</f>
        <v>2017/2018</v>
      </c>
      <c r="E103">
        <v>2</v>
      </c>
      <c r="F103" s="11">
        <v>43802</v>
      </c>
      <c r="G103">
        <f>_xlfn.XLOOKUP(Table2[[#This Row],[First_egg_lay_date]],'19-20_niwa_temp_data'!B:B,'19-20_niwa_temp_data'!G:G, "No Match")</f>
        <v>18.244999314880776</v>
      </c>
      <c r="H103">
        <v>3</v>
      </c>
      <c r="I103" s="11">
        <v>43804</v>
      </c>
      <c r="J103">
        <f>_xlfn.XLOOKUP(Table2[[#This Row],[Nest_box_ID]],Sheet1!A:A,Sheet1!L:L, "No Match")</f>
        <v>0</v>
      </c>
      <c r="K103" s="11">
        <v>43819</v>
      </c>
      <c r="L103">
        <f>_xlfn.XLOOKUP(Table2[[#This Row],[Nest_box_ID]],Sheet1!A:A,Sheet1!K:K, "No Match")</f>
        <v>15</v>
      </c>
      <c r="M103" s="11">
        <v>43805</v>
      </c>
      <c r="N103" s="16">
        <v>0.67535879629629625</v>
      </c>
      <c r="O103">
        <v>1</v>
      </c>
      <c r="P103">
        <v>77</v>
      </c>
      <c r="Q103" t="s">
        <v>319</v>
      </c>
      <c r="R103">
        <v>262</v>
      </c>
      <c r="S103">
        <f>_xlfn.XLOOKUP(Table2[[#This Row],[Obs_date]],'19-20_niwa_temp_data'!B:B,'19-20_niwa_temp_data'!G:G, "N/A")</f>
        <v>17.764852940567788</v>
      </c>
      <c r="T103">
        <f>_xlfn.XLOOKUP(Table2[[#This Row],[First_egg_lay_date]],'19-20_niwa_temp_data'!B:B,'19-20_niwa_temp_data'!G:G, "No Match")</f>
        <v>18.244999314880776</v>
      </c>
    </row>
    <row r="104" spans="1:20" hidden="1" x14ac:dyDescent="0.35">
      <c r="A104" t="s">
        <v>9</v>
      </c>
      <c r="B104" t="s">
        <v>68</v>
      </c>
      <c r="C104" s="3" t="s">
        <v>157</v>
      </c>
      <c r="D104" t="str">
        <f>_xlfn.XLOOKUP(Table2[[#This Row],[Female_ID ]],'19-20_female_cohort'!I:I,'19-20_female_cohort'!H:H, "No Match")</f>
        <v>2017/2018</v>
      </c>
      <c r="E104">
        <v>2</v>
      </c>
      <c r="F104" s="11">
        <v>43802</v>
      </c>
      <c r="G104">
        <f>_xlfn.XLOOKUP(Table2[[#This Row],[First_egg_lay_date]],'19-20_niwa_temp_data'!B:B,'19-20_niwa_temp_data'!G:G, "No Match")</f>
        <v>18.244999314880776</v>
      </c>
      <c r="H104">
        <v>3</v>
      </c>
      <c r="I104" s="11">
        <v>43804</v>
      </c>
      <c r="J104">
        <f>_xlfn.XLOOKUP(Table2[[#This Row],[Nest_box_ID]],Sheet1!A:A,Sheet1!L:L, "No Match")</f>
        <v>0</v>
      </c>
      <c r="K104" s="11">
        <v>43819</v>
      </c>
      <c r="L104">
        <f>_xlfn.XLOOKUP(Table2[[#This Row],[Nest_box_ID]],Sheet1!A:A,Sheet1!K:K, "No Match")</f>
        <v>15</v>
      </c>
      <c r="M104" s="11">
        <v>43805</v>
      </c>
      <c r="N104" s="16">
        <v>0.67839120370370365</v>
      </c>
      <c r="O104">
        <v>1</v>
      </c>
      <c r="P104">
        <v>77</v>
      </c>
      <c r="Q104" t="s">
        <v>320</v>
      </c>
      <c r="R104">
        <v>454</v>
      </c>
      <c r="S104">
        <f>_xlfn.XLOOKUP(Table2[[#This Row],[Obs_date]],'19-20_niwa_temp_data'!B:B,'19-20_niwa_temp_data'!G:G, "N/A")</f>
        <v>17.764852940567788</v>
      </c>
      <c r="T104">
        <f>_xlfn.XLOOKUP(Table2[[#This Row],[First_egg_lay_date]],'19-20_niwa_temp_data'!B:B,'19-20_niwa_temp_data'!G:G, "No Match")</f>
        <v>18.244999314880776</v>
      </c>
    </row>
    <row r="105" spans="1:20" x14ac:dyDescent="0.35">
      <c r="A105" t="s">
        <v>9</v>
      </c>
      <c r="B105" t="s">
        <v>68</v>
      </c>
      <c r="C105" s="3" t="s">
        <v>157</v>
      </c>
      <c r="D105" t="str">
        <f>_xlfn.XLOOKUP(Table2[[#This Row],[Female_ID ]],'19-20_female_cohort'!I:I,'19-20_female_cohort'!H:H, "No Match")</f>
        <v>2017/2018</v>
      </c>
      <c r="E105">
        <v>2</v>
      </c>
      <c r="F105" s="11">
        <v>43802</v>
      </c>
      <c r="G105">
        <f>_xlfn.XLOOKUP(Table2[[#This Row],[First_egg_lay_date]],'19-20_niwa_temp_data'!B:B,'19-20_niwa_temp_data'!G:G, "No Match")</f>
        <v>18.244999314880776</v>
      </c>
      <c r="H105">
        <v>3</v>
      </c>
      <c r="I105" s="11">
        <v>43804</v>
      </c>
      <c r="J105">
        <f>_xlfn.XLOOKUP(Table2[[#This Row],[Nest_box_ID]],Sheet1!A:A,Sheet1!L:L, "No Match")</f>
        <v>0</v>
      </c>
      <c r="K105" s="11">
        <v>43819</v>
      </c>
      <c r="L105">
        <f>_xlfn.XLOOKUP(Table2[[#This Row],[Nest_box_ID]],Sheet1!A:A,Sheet1!K:K, "No Match")</f>
        <v>15</v>
      </c>
      <c r="M105" s="11">
        <v>43805</v>
      </c>
      <c r="N105" s="16">
        <v>0.68364583333333329</v>
      </c>
      <c r="O105">
        <v>1</v>
      </c>
      <c r="P105">
        <v>77</v>
      </c>
      <c r="Q105" t="s">
        <v>319</v>
      </c>
      <c r="R105">
        <v>258</v>
      </c>
      <c r="S105">
        <f>_xlfn.XLOOKUP(Table2[[#This Row],[Obs_date]],'19-20_niwa_temp_data'!B:B,'19-20_niwa_temp_data'!G:G, "N/A")</f>
        <v>17.764852940567788</v>
      </c>
      <c r="T105">
        <f>_xlfn.XLOOKUP(Table2[[#This Row],[First_egg_lay_date]],'19-20_niwa_temp_data'!B:B,'19-20_niwa_temp_data'!G:G, "No Match")</f>
        <v>18.244999314880776</v>
      </c>
    </row>
    <row r="106" spans="1:20" hidden="1" x14ac:dyDescent="0.35">
      <c r="A106" t="s">
        <v>9</v>
      </c>
      <c r="B106" t="s">
        <v>68</v>
      </c>
      <c r="C106" s="3" t="s">
        <v>157</v>
      </c>
      <c r="D106" t="str">
        <f>_xlfn.XLOOKUP(Table2[[#This Row],[Female_ID ]],'19-20_female_cohort'!I:I,'19-20_female_cohort'!H:H, "No Match")</f>
        <v>2017/2018</v>
      </c>
      <c r="E106">
        <v>2</v>
      </c>
      <c r="F106" s="11">
        <v>43802</v>
      </c>
      <c r="G106">
        <f>_xlfn.XLOOKUP(Table2[[#This Row],[First_egg_lay_date]],'19-20_niwa_temp_data'!B:B,'19-20_niwa_temp_data'!G:G, "No Match")</f>
        <v>18.244999314880776</v>
      </c>
      <c r="H106">
        <v>3</v>
      </c>
      <c r="I106" s="11">
        <v>43804</v>
      </c>
      <c r="J106">
        <f>_xlfn.XLOOKUP(Table2[[#This Row],[Nest_box_ID]],Sheet1!A:A,Sheet1!L:L, "No Match")</f>
        <v>0</v>
      </c>
      <c r="K106" s="11">
        <v>43819</v>
      </c>
      <c r="L106">
        <f>_xlfn.XLOOKUP(Table2[[#This Row],[Nest_box_ID]],Sheet1!A:A,Sheet1!K:K, "No Match")</f>
        <v>15</v>
      </c>
      <c r="M106" s="11">
        <v>43805</v>
      </c>
      <c r="N106" s="16">
        <v>0.68663194444444442</v>
      </c>
      <c r="O106">
        <v>1</v>
      </c>
      <c r="P106">
        <v>77</v>
      </c>
      <c r="Q106" t="s">
        <v>320</v>
      </c>
      <c r="R106">
        <v>367</v>
      </c>
      <c r="S106">
        <f>_xlfn.XLOOKUP(Table2[[#This Row],[Obs_date]],'19-20_niwa_temp_data'!B:B,'19-20_niwa_temp_data'!G:G, "N/A")</f>
        <v>17.764852940567788</v>
      </c>
      <c r="T106">
        <f>_xlfn.XLOOKUP(Table2[[#This Row],[First_egg_lay_date]],'19-20_niwa_temp_data'!B:B,'19-20_niwa_temp_data'!G:G, "No Match")</f>
        <v>18.244999314880776</v>
      </c>
    </row>
    <row r="107" spans="1:20" x14ac:dyDescent="0.35">
      <c r="A107" t="s">
        <v>9</v>
      </c>
      <c r="B107" t="s">
        <v>68</v>
      </c>
      <c r="C107" s="3" t="s">
        <v>157</v>
      </c>
      <c r="D107" t="str">
        <f>_xlfn.XLOOKUP(Table2[[#This Row],[Female_ID ]],'19-20_female_cohort'!I:I,'19-20_female_cohort'!H:H, "No Match")</f>
        <v>2017/2018</v>
      </c>
      <c r="E107">
        <v>2</v>
      </c>
      <c r="F107" s="11">
        <v>43802</v>
      </c>
      <c r="G107">
        <f>_xlfn.XLOOKUP(Table2[[#This Row],[First_egg_lay_date]],'19-20_niwa_temp_data'!B:B,'19-20_niwa_temp_data'!G:G, "No Match")</f>
        <v>18.244999314880776</v>
      </c>
      <c r="H107">
        <v>3</v>
      </c>
      <c r="I107" s="11">
        <v>43804</v>
      </c>
      <c r="J107">
        <f>_xlfn.XLOOKUP(Table2[[#This Row],[Nest_box_ID]],Sheet1!A:A,Sheet1!L:L, "No Match")</f>
        <v>0</v>
      </c>
      <c r="K107" s="11">
        <v>43819</v>
      </c>
      <c r="L107">
        <f>_xlfn.XLOOKUP(Table2[[#This Row],[Nest_box_ID]],Sheet1!A:A,Sheet1!K:K, "No Match")</f>
        <v>15</v>
      </c>
      <c r="M107" s="11">
        <v>43805</v>
      </c>
      <c r="N107" s="16">
        <v>0.69087962962962968</v>
      </c>
      <c r="O107">
        <v>1</v>
      </c>
      <c r="P107">
        <v>77</v>
      </c>
      <c r="Q107" t="s">
        <v>319</v>
      </c>
      <c r="R107">
        <v>325</v>
      </c>
      <c r="S107">
        <f>_xlfn.XLOOKUP(Table2[[#This Row],[Obs_date]],'19-20_niwa_temp_data'!B:B,'19-20_niwa_temp_data'!G:G, "N/A")</f>
        <v>17.764852940567788</v>
      </c>
      <c r="T107">
        <f>_xlfn.XLOOKUP(Table2[[#This Row],[First_egg_lay_date]],'19-20_niwa_temp_data'!B:B,'19-20_niwa_temp_data'!G:G, "No Match")</f>
        <v>18.244999314880776</v>
      </c>
    </row>
    <row r="108" spans="1:20" hidden="1" x14ac:dyDescent="0.35">
      <c r="A108" t="s">
        <v>9</v>
      </c>
      <c r="B108" t="s">
        <v>68</v>
      </c>
      <c r="C108" s="3" t="s">
        <v>157</v>
      </c>
      <c r="D108" t="str">
        <f>_xlfn.XLOOKUP(Table2[[#This Row],[Female_ID ]],'19-20_female_cohort'!I:I,'19-20_female_cohort'!H:H, "No Match")</f>
        <v>2017/2018</v>
      </c>
      <c r="E108">
        <v>2</v>
      </c>
      <c r="F108" s="11">
        <v>43802</v>
      </c>
      <c r="G108">
        <f>_xlfn.XLOOKUP(Table2[[#This Row],[First_egg_lay_date]],'19-20_niwa_temp_data'!B:B,'19-20_niwa_temp_data'!G:G, "No Match")</f>
        <v>18.244999314880776</v>
      </c>
      <c r="H108">
        <v>3</v>
      </c>
      <c r="I108" s="11">
        <v>43804</v>
      </c>
      <c r="J108">
        <f>_xlfn.XLOOKUP(Table2[[#This Row],[Nest_box_ID]],Sheet1!A:A,Sheet1!L:L, "No Match")</f>
        <v>0</v>
      </c>
      <c r="K108" s="11">
        <v>43819</v>
      </c>
      <c r="L108">
        <f>_xlfn.XLOOKUP(Table2[[#This Row],[Nest_box_ID]],Sheet1!A:A,Sheet1!K:K, "No Match")</f>
        <v>15</v>
      </c>
      <c r="M108" s="11">
        <v>43805</v>
      </c>
      <c r="N108" s="16">
        <v>0.69464120370370375</v>
      </c>
      <c r="O108">
        <v>1</v>
      </c>
      <c r="P108">
        <v>77</v>
      </c>
      <c r="Q108" t="s">
        <v>320</v>
      </c>
      <c r="R108" t="s">
        <v>254</v>
      </c>
      <c r="S108">
        <f>_xlfn.XLOOKUP(Table2[[#This Row],[Obs_date]],'19-20_niwa_temp_data'!B:B,'19-20_niwa_temp_data'!G:G, "N/A")</f>
        <v>17.764852940567788</v>
      </c>
      <c r="T108">
        <f>_xlfn.XLOOKUP(Table2[[#This Row],[First_egg_lay_date]],'19-20_niwa_temp_data'!B:B,'19-20_niwa_temp_data'!G:G, "No Match")</f>
        <v>18.244999314880776</v>
      </c>
    </row>
    <row r="109" spans="1:20" hidden="1" x14ac:dyDescent="0.35">
      <c r="A109" t="s">
        <v>9</v>
      </c>
      <c r="B109" t="s">
        <v>10</v>
      </c>
      <c r="C109" s="3" t="s">
        <v>99</v>
      </c>
      <c r="D109" t="str">
        <f>_xlfn.XLOOKUP(Table2[[#This Row],[Female_ID ]],'19-20_female_cohort'!I:I,'19-20_female_cohort'!H:H, "No Match")</f>
        <v>2015/2016</v>
      </c>
      <c r="E109">
        <v>4</v>
      </c>
      <c r="F109" s="11">
        <v>43765</v>
      </c>
      <c r="G109">
        <f>_xlfn.XLOOKUP(Table2[[#This Row],[First_egg_lay_date]],'19-20_niwa_temp_data'!B:B,'19-20_niwa_temp_data'!G:G, "No Match")</f>
        <v>13.692333621410194</v>
      </c>
      <c r="H109">
        <v>4</v>
      </c>
      <c r="I109" s="11">
        <v>43768</v>
      </c>
      <c r="J109">
        <f>_xlfn.XLOOKUP(Table2[[#This Row],[Nest_box_ID]],Sheet1!A:A,Sheet1!L:L, "No Match")</f>
        <v>0</v>
      </c>
      <c r="K109" s="11" t="s">
        <v>254</v>
      </c>
      <c r="L109" t="str">
        <f>_xlfn.XLOOKUP(Table2[[#This Row],[Nest_box_ID]],Sheet1!A:A,Sheet1!K:K, "No Match")</f>
        <v>N/A</v>
      </c>
      <c r="M109" s="11">
        <v>43771</v>
      </c>
      <c r="N109" s="16">
        <v>0.55138888888888893</v>
      </c>
      <c r="O109">
        <v>3</v>
      </c>
      <c r="P109">
        <v>99</v>
      </c>
      <c r="Q109" t="s">
        <v>320</v>
      </c>
      <c r="R109">
        <v>1200</v>
      </c>
      <c r="S109">
        <f>_xlfn.XLOOKUP(Table2[[#This Row],[Obs_date]],'19-20_niwa_temp_data'!B:B,'19-20_niwa_temp_data'!G:G, "N/A")</f>
        <v>13.655768012089251</v>
      </c>
      <c r="T109">
        <f>_xlfn.XLOOKUP(Table2[[#This Row],[First_egg_lay_date]],'19-20_niwa_temp_data'!B:B,'19-20_niwa_temp_data'!G:G, "No Match")</f>
        <v>13.692333621410194</v>
      </c>
    </row>
    <row r="110" spans="1:20" hidden="1" x14ac:dyDescent="0.35">
      <c r="A110" t="s">
        <v>9</v>
      </c>
      <c r="B110" t="s">
        <v>10</v>
      </c>
      <c r="C110" s="3" t="s">
        <v>99</v>
      </c>
      <c r="D110" t="str">
        <f>_xlfn.XLOOKUP(Table2[[#This Row],[Female_ID ]],'19-20_female_cohort'!I:I,'19-20_female_cohort'!H:H, "No Match")</f>
        <v>2015/2016</v>
      </c>
      <c r="E110">
        <v>4</v>
      </c>
      <c r="F110" s="11">
        <v>43765</v>
      </c>
      <c r="G110">
        <f>_xlfn.XLOOKUP(Table2[[#This Row],[First_egg_lay_date]],'19-20_niwa_temp_data'!B:B,'19-20_niwa_temp_data'!G:G, "No Match")</f>
        <v>13.692333621410194</v>
      </c>
      <c r="H110">
        <v>4</v>
      </c>
      <c r="I110" s="11">
        <v>43768</v>
      </c>
      <c r="J110">
        <f>_xlfn.XLOOKUP(Table2[[#This Row],[Nest_box_ID]],Sheet1!A:A,Sheet1!L:L, "No Match")</f>
        <v>0</v>
      </c>
      <c r="K110" s="11" t="s">
        <v>254</v>
      </c>
      <c r="L110" t="str">
        <f>_xlfn.XLOOKUP(Table2[[#This Row],[Nest_box_ID]],Sheet1!A:A,Sheet1!K:K, "No Match")</f>
        <v>N/A</v>
      </c>
      <c r="M110" s="11">
        <v>43771</v>
      </c>
      <c r="N110" s="16">
        <v>0.56527777777777777</v>
      </c>
      <c r="O110">
        <v>3</v>
      </c>
      <c r="P110">
        <v>99</v>
      </c>
      <c r="Q110" t="s">
        <v>319</v>
      </c>
      <c r="R110">
        <v>300</v>
      </c>
      <c r="S110">
        <f>_xlfn.XLOOKUP(Table2[[#This Row],[Obs_date]],'19-20_niwa_temp_data'!B:B,'19-20_niwa_temp_data'!G:G, "N/A")</f>
        <v>13.655768012089251</v>
      </c>
      <c r="T110">
        <f>_xlfn.XLOOKUP(Table2[[#This Row],[First_egg_lay_date]],'19-20_niwa_temp_data'!B:B,'19-20_niwa_temp_data'!G:G, "No Match")</f>
        <v>13.692333621410194</v>
      </c>
    </row>
    <row r="111" spans="1:20" hidden="1" x14ac:dyDescent="0.35">
      <c r="A111" t="s">
        <v>9</v>
      </c>
      <c r="B111" t="s">
        <v>10</v>
      </c>
      <c r="C111" s="3" t="s">
        <v>99</v>
      </c>
      <c r="D111" t="str">
        <f>_xlfn.XLOOKUP(Table2[[#This Row],[Female_ID ]],'19-20_female_cohort'!I:I,'19-20_female_cohort'!H:H, "No Match")</f>
        <v>2015/2016</v>
      </c>
      <c r="E111">
        <v>4</v>
      </c>
      <c r="F111" s="11">
        <v>43765</v>
      </c>
      <c r="G111">
        <f>_xlfn.XLOOKUP(Table2[[#This Row],[First_egg_lay_date]],'19-20_niwa_temp_data'!B:B,'19-20_niwa_temp_data'!G:G, "No Match")</f>
        <v>13.692333621410194</v>
      </c>
      <c r="H111">
        <v>4</v>
      </c>
      <c r="I111" s="11">
        <v>43768</v>
      </c>
      <c r="J111">
        <f>_xlfn.XLOOKUP(Table2[[#This Row],[Nest_box_ID]],Sheet1!A:A,Sheet1!L:L, "No Match")</f>
        <v>0</v>
      </c>
      <c r="K111" s="11" t="s">
        <v>254</v>
      </c>
      <c r="L111" t="str">
        <f>_xlfn.XLOOKUP(Table2[[#This Row],[Nest_box_ID]],Sheet1!A:A,Sheet1!K:K, "No Match")</f>
        <v>N/A</v>
      </c>
      <c r="M111" s="11">
        <v>43771</v>
      </c>
      <c r="N111" s="16">
        <v>0.56874999999999998</v>
      </c>
      <c r="O111">
        <v>3</v>
      </c>
      <c r="P111">
        <v>99</v>
      </c>
      <c r="Q111" t="s">
        <v>320</v>
      </c>
      <c r="R111">
        <v>1380</v>
      </c>
      <c r="S111">
        <f>_xlfn.XLOOKUP(Table2[[#This Row],[Obs_date]],'19-20_niwa_temp_data'!B:B,'19-20_niwa_temp_data'!G:G, "N/A")</f>
        <v>13.655768012089251</v>
      </c>
      <c r="T111">
        <f>_xlfn.XLOOKUP(Table2[[#This Row],[First_egg_lay_date]],'19-20_niwa_temp_data'!B:B,'19-20_niwa_temp_data'!G:G, "No Match")</f>
        <v>13.692333621410194</v>
      </c>
    </row>
    <row r="112" spans="1:20" hidden="1" x14ac:dyDescent="0.35">
      <c r="A112" t="s">
        <v>9</v>
      </c>
      <c r="B112" t="s">
        <v>10</v>
      </c>
      <c r="C112" s="3" t="s">
        <v>99</v>
      </c>
      <c r="D112" t="str">
        <f>_xlfn.XLOOKUP(Table2[[#This Row],[Female_ID ]],'19-20_female_cohort'!I:I,'19-20_female_cohort'!H:H, "No Match")</f>
        <v>2015/2016</v>
      </c>
      <c r="E112">
        <v>4</v>
      </c>
      <c r="F112" s="11">
        <v>43765</v>
      </c>
      <c r="G112">
        <f>_xlfn.XLOOKUP(Table2[[#This Row],[First_egg_lay_date]],'19-20_niwa_temp_data'!B:B,'19-20_niwa_temp_data'!G:G, "No Match")</f>
        <v>13.692333621410194</v>
      </c>
      <c r="H112">
        <v>4</v>
      </c>
      <c r="I112" s="11">
        <v>43768</v>
      </c>
      <c r="J112">
        <f>_xlfn.XLOOKUP(Table2[[#This Row],[Nest_box_ID]],Sheet1!A:A,Sheet1!L:L, "No Match")</f>
        <v>0</v>
      </c>
      <c r="K112" s="11" t="s">
        <v>254</v>
      </c>
      <c r="L112" t="str">
        <f>_xlfn.XLOOKUP(Table2[[#This Row],[Nest_box_ID]],Sheet1!A:A,Sheet1!K:K, "No Match")</f>
        <v>N/A</v>
      </c>
      <c r="M112" s="11">
        <v>43771</v>
      </c>
      <c r="N112" s="16">
        <v>0.58472222222222225</v>
      </c>
      <c r="O112">
        <v>3</v>
      </c>
      <c r="P112">
        <v>99</v>
      </c>
      <c r="Q112" t="s">
        <v>319</v>
      </c>
      <c r="R112">
        <v>360</v>
      </c>
      <c r="S112">
        <f>_xlfn.XLOOKUP(Table2[[#This Row],[Obs_date]],'19-20_niwa_temp_data'!B:B,'19-20_niwa_temp_data'!G:G, "N/A")</f>
        <v>13.655768012089251</v>
      </c>
      <c r="T112">
        <f>_xlfn.XLOOKUP(Table2[[#This Row],[First_egg_lay_date]],'19-20_niwa_temp_data'!B:B,'19-20_niwa_temp_data'!G:G, "No Match")</f>
        <v>13.692333621410194</v>
      </c>
    </row>
    <row r="113" spans="1:20" hidden="1" x14ac:dyDescent="0.35">
      <c r="A113" t="s">
        <v>9</v>
      </c>
      <c r="B113" t="s">
        <v>10</v>
      </c>
      <c r="C113" s="3" t="s">
        <v>99</v>
      </c>
      <c r="D113" t="str">
        <f>_xlfn.XLOOKUP(Table2[[#This Row],[Female_ID ]],'19-20_female_cohort'!I:I,'19-20_female_cohort'!H:H, "No Match")</f>
        <v>2015/2016</v>
      </c>
      <c r="E113">
        <v>4</v>
      </c>
      <c r="F113" s="11">
        <v>43765</v>
      </c>
      <c r="G113">
        <f>_xlfn.XLOOKUP(Table2[[#This Row],[First_egg_lay_date]],'19-20_niwa_temp_data'!B:B,'19-20_niwa_temp_data'!G:G, "No Match")</f>
        <v>13.692333621410194</v>
      </c>
      <c r="H113">
        <v>4</v>
      </c>
      <c r="I113" s="11">
        <v>43768</v>
      </c>
      <c r="J113">
        <f>_xlfn.XLOOKUP(Table2[[#This Row],[Nest_box_ID]],Sheet1!A:A,Sheet1!L:L, "No Match")</f>
        <v>0</v>
      </c>
      <c r="K113" s="11" t="s">
        <v>254</v>
      </c>
      <c r="L113" t="str">
        <f>_xlfn.XLOOKUP(Table2[[#This Row],[Nest_box_ID]],Sheet1!A:A,Sheet1!K:K, "No Match")</f>
        <v>N/A</v>
      </c>
      <c r="M113" s="11">
        <v>43771</v>
      </c>
      <c r="N113" s="16">
        <v>0.58888888888888891</v>
      </c>
      <c r="O113">
        <v>3</v>
      </c>
      <c r="P113">
        <v>99</v>
      </c>
      <c r="Q113" t="s">
        <v>320</v>
      </c>
      <c r="R113">
        <v>720</v>
      </c>
      <c r="S113">
        <f>_xlfn.XLOOKUP(Table2[[#This Row],[Obs_date]],'19-20_niwa_temp_data'!B:B,'19-20_niwa_temp_data'!G:G, "N/A")</f>
        <v>13.655768012089251</v>
      </c>
      <c r="T113">
        <f>_xlfn.XLOOKUP(Table2[[#This Row],[First_egg_lay_date]],'19-20_niwa_temp_data'!B:B,'19-20_niwa_temp_data'!G:G, "No Match")</f>
        <v>13.692333621410194</v>
      </c>
    </row>
    <row r="114" spans="1:20" hidden="1" x14ac:dyDescent="0.35">
      <c r="A114" t="s">
        <v>9</v>
      </c>
      <c r="B114" t="s">
        <v>10</v>
      </c>
      <c r="C114" s="3" t="s">
        <v>99</v>
      </c>
      <c r="D114" t="str">
        <f>_xlfn.XLOOKUP(Table2[[#This Row],[Female_ID ]],'19-20_female_cohort'!I:I,'19-20_female_cohort'!H:H, "No Match")</f>
        <v>2015/2016</v>
      </c>
      <c r="E114">
        <v>4</v>
      </c>
      <c r="F114" s="11">
        <v>43765</v>
      </c>
      <c r="G114">
        <f>_xlfn.XLOOKUP(Table2[[#This Row],[First_egg_lay_date]],'19-20_niwa_temp_data'!B:B,'19-20_niwa_temp_data'!G:G, "No Match")</f>
        <v>13.692333621410194</v>
      </c>
      <c r="H114">
        <v>4</v>
      </c>
      <c r="I114" s="11">
        <v>43768</v>
      </c>
      <c r="J114">
        <f>_xlfn.XLOOKUP(Table2[[#This Row],[Nest_box_ID]],Sheet1!A:A,Sheet1!L:L, "No Match")</f>
        <v>0</v>
      </c>
      <c r="K114" s="11" t="s">
        <v>254</v>
      </c>
      <c r="L114" t="str">
        <f>_xlfn.XLOOKUP(Table2[[#This Row],[Nest_box_ID]],Sheet1!A:A,Sheet1!K:K, "No Match")</f>
        <v>N/A</v>
      </c>
      <c r="M114" s="11">
        <v>43771</v>
      </c>
      <c r="N114" s="16">
        <v>0.59722222222222221</v>
      </c>
      <c r="O114">
        <v>3</v>
      </c>
      <c r="P114">
        <v>99</v>
      </c>
      <c r="Q114" t="s">
        <v>319</v>
      </c>
      <c r="R114">
        <v>420</v>
      </c>
      <c r="S114">
        <f>_xlfn.XLOOKUP(Table2[[#This Row],[Obs_date]],'19-20_niwa_temp_data'!B:B,'19-20_niwa_temp_data'!G:G, "N/A")</f>
        <v>13.655768012089251</v>
      </c>
      <c r="T114">
        <f>_xlfn.XLOOKUP(Table2[[#This Row],[First_egg_lay_date]],'19-20_niwa_temp_data'!B:B,'19-20_niwa_temp_data'!G:G, "No Match")</f>
        <v>13.692333621410194</v>
      </c>
    </row>
    <row r="115" spans="1:20" hidden="1" x14ac:dyDescent="0.35">
      <c r="A115" t="s">
        <v>9</v>
      </c>
      <c r="B115" t="s">
        <v>10</v>
      </c>
      <c r="C115" s="3" t="s">
        <v>99</v>
      </c>
      <c r="D115" t="str">
        <f>_xlfn.XLOOKUP(Table2[[#This Row],[Female_ID ]],'19-20_female_cohort'!I:I,'19-20_female_cohort'!H:H, "No Match")</f>
        <v>2015/2016</v>
      </c>
      <c r="E115">
        <v>4</v>
      </c>
      <c r="F115" s="11">
        <v>43765</v>
      </c>
      <c r="G115">
        <f>_xlfn.XLOOKUP(Table2[[#This Row],[First_egg_lay_date]],'19-20_niwa_temp_data'!B:B,'19-20_niwa_temp_data'!G:G, "No Match")</f>
        <v>13.692333621410194</v>
      </c>
      <c r="H115">
        <v>4</v>
      </c>
      <c r="I115" s="11">
        <v>43768</v>
      </c>
      <c r="J115">
        <f>_xlfn.XLOOKUP(Table2[[#This Row],[Nest_box_ID]],Sheet1!A:A,Sheet1!L:L, "No Match")</f>
        <v>0</v>
      </c>
      <c r="K115" s="11" t="s">
        <v>254</v>
      </c>
      <c r="L115" t="str">
        <f>_xlfn.XLOOKUP(Table2[[#This Row],[Nest_box_ID]],Sheet1!A:A,Sheet1!K:K, "No Match")</f>
        <v>N/A</v>
      </c>
      <c r="M115" s="11">
        <v>43771</v>
      </c>
      <c r="N115" s="16">
        <v>0.6020833333333333</v>
      </c>
      <c r="O115">
        <v>3</v>
      </c>
      <c r="P115">
        <v>99</v>
      </c>
      <c r="Q115" t="s">
        <v>320</v>
      </c>
      <c r="R115">
        <v>1260</v>
      </c>
      <c r="S115">
        <f>_xlfn.XLOOKUP(Table2[[#This Row],[Obs_date]],'19-20_niwa_temp_data'!B:B,'19-20_niwa_temp_data'!G:G, "N/A")</f>
        <v>13.655768012089251</v>
      </c>
      <c r="T115">
        <f>_xlfn.XLOOKUP(Table2[[#This Row],[First_egg_lay_date]],'19-20_niwa_temp_data'!B:B,'19-20_niwa_temp_data'!G:G, "No Match")</f>
        <v>13.692333621410194</v>
      </c>
    </row>
    <row r="116" spans="1:20" hidden="1" x14ac:dyDescent="0.35">
      <c r="A116" t="s">
        <v>9</v>
      </c>
      <c r="B116" t="s">
        <v>10</v>
      </c>
      <c r="C116" s="3" t="s">
        <v>99</v>
      </c>
      <c r="D116" t="str">
        <f>_xlfn.XLOOKUP(Table2[[#This Row],[Female_ID ]],'19-20_female_cohort'!I:I,'19-20_female_cohort'!H:H, "No Match")</f>
        <v>2015/2016</v>
      </c>
      <c r="E116">
        <v>4</v>
      </c>
      <c r="F116" s="11">
        <v>43765</v>
      </c>
      <c r="G116">
        <f>_xlfn.XLOOKUP(Table2[[#This Row],[First_egg_lay_date]],'19-20_niwa_temp_data'!B:B,'19-20_niwa_temp_data'!G:G, "No Match")</f>
        <v>13.692333621410194</v>
      </c>
      <c r="H116">
        <v>4</v>
      </c>
      <c r="I116" s="11">
        <v>43768</v>
      </c>
      <c r="J116">
        <f>_xlfn.XLOOKUP(Table2[[#This Row],[Nest_box_ID]],Sheet1!A:A,Sheet1!L:L, "No Match")</f>
        <v>0</v>
      </c>
      <c r="K116" s="11" t="s">
        <v>254</v>
      </c>
      <c r="L116" t="str">
        <f>_xlfn.XLOOKUP(Table2[[#This Row],[Nest_box_ID]],Sheet1!A:A,Sheet1!K:K, "No Match")</f>
        <v>N/A</v>
      </c>
      <c r="M116" s="11">
        <v>43771</v>
      </c>
      <c r="N116" s="16">
        <v>0.6166666666666667</v>
      </c>
      <c r="O116">
        <v>3</v>
      </c>
      <c r="P116">
        <v>99</v>
      </c>
      <c r="Q116" t="s">
        <v>319</v>
      </c>
      <c r="R116">
        <v>300</v>
      </c>
      <c r="S116">
        <f>_xlfn.XLOOKUP(Table2[[#This Row],[Obs_date]],'19-20_niwa_temp_data'!B:B,'19-20_niwa_temp_data'!G:G, "N/A")</f>
        <v>13.655768012089251</v>
      </c>
      <c r="T116">
        <f>_xlfn.XLOOKUP(Table2[[#This Row],[First_egg_lay_date]],'19-20_niwa_temp_data'!B:B,'19-20_niwa_temp_data'!G:G, "No Match")</f>
        <v>13.692333621410194</v>
      </c>
    </row>
    <row r="117" spans="1:20" hidden="1" x14ac:dyDescent="0.35">
      <c r="A117" t="s">
        <v>9</v>
      </c>
      <c r="B117" t="s">
        <v>10</v>
      </c>
      <c r="C117" s="3" t="s">
        <v>99</v>
      </c>
      <c r="D117" t="str">
        <f>_xlfn.XLOOKUP(Table2[[#This Row],[Female_ID ]],'19-20_female_cohort'!I:I,'19-20_female_cohort'!H:H, "No Match")</f>
        <v>2015/2016</v>
      </c>
      <c r="E117">
        <v>4</v>
      </c>
      <c r="F117" s="11">
        <v>43765</v>
      </c>
      <c r="G117">
        <f>_xlfn.XLOOKUP(Table2[[#This Row],[First_egg_lay_date]],'19-20_niwa_temp_data'!B:B,'19-20_niwa_temp_data'!G:G, "No Match")</f>
        <v>13.692333621410194</v>
      </c>
      <c r="H117">
        <v>4</v>
      </c>
      <c r="I117" s="11">
        <v>43768</v>
      </c>
      <c r="J117">
        <f>_xlfn.XLOOKUP(Table2[[#This Row],[Nest_box_ID]],Sheet1!A:A,Sheet1!L:L, "No Match")</f>
        <v>0</v>
      </c>
      <c r="K117" s="11" t="s">
        <v>254</v>
      </c>
      <c r="L117" t="str">
        <f>_xlfn.XLOOKUP(Table2[[#This Row],[Nest_box_ID]],Sheet1!A:A,Sheet1!K:K, "No Match")</f>
        <v>N/A</v>
      </c>
      <c r="M117" s="11">
        <v>43771</v>
      </c>
      <c r="N117" s="16">
        <v>0.62013888888888891</v>
      </c>
      <c r="O117">
        <v>3</v>
      </c>
      <c r="P117">
        <v>99</v>
      </c>
      <c r="Q117" t="s">
        <v>319</v>
      </c>
      <c r="R117" t="s">
        <v>254</v>
      </c>
      <c r="S117">
        <f>_xlfn.XLOOKUP(Table2[[#This Row],[Obs_date]],'19-20_niwa_temp_data'!B:B,'19-20_niwa_temp_data'!G:G, "N/A")</f>
        <v>13.655768012089251</v>
      </c>
      <c r="T117">
        <f>_xlfn.XLOOKUP(Table2[[#This Row],[First_egg_lay_date]],'19-20_niwa_temp_data'!B:B,'19-20_niwa_temp_data'!G:G, "No Match")</f>
        <v>13.692333621410194</v>
      </c>
    </row>
    <row r="118" spans="1:20" x14ac:dyDescent="0.35">
      <c r="A118" t="s">
        <v>9</v>
      </c>
      <c r="B118" t="s">
        <v>20</v>
      </c>
      <c r="C118" s="3" t="s">
        <v>109</v>
      </c>
      <c r="D118" t="str">
        <f>_xlfn.XLOOKUP(Table2[[#This Row],[Female_ID ]],'19-20_female_cohort'!I:I,'19-20_female_cohort'!H:H, "No Match")</f>
        <v>2014/2015</v>
      </c>
      <c r="E118">
        <v>5</v>
      </c>
      <c r="F118" s="11">
        <v>43772</v>
      </c>
      <c r="G118">
        <f>_xlfn.XLOOKUP(Table2[[#This Row],[First_egg_lay_date]],'19-20_niwa_temp_data'!B:B,'19-20_niwa_temp_data'!G:G, "No Match")</f>
        <v>14.419431334140747</v>
      </c>
      <c r="H118">
        <v>4</v>
      </c>
      <c r="I118" s="11">
        <v>43775</v>
      </c>
      <c r="J118">
        <f>_xlfn.XLOOKUP(Table2[[#This Row],[Nest_box_ID]],Sheet1!A:A,Sheet1!L:L, "No Match")</f>
        <v>0</v>
      </c>
      <c r="K118" s="11">
        <v>43790</v>
      </c>
      <c r="L118">
        <f>_xlfn.XLOOKUP(Table2[[#This Row],[Nest_box_ID]],Sheet1!A:A,Sheet1!K:K, "No Match")</f>
        <v>15</v>
      </c>
      <c r="M118" s="11">
        <v>43776</v>
      </c>
      <c r="N118" s="16">
        <v>0.70763888888888893</v>
      </c>
      <c r="O118">
        <v>2</v>
      </c>
      <c r="P118">
        <v>47.85</v>
      </c>
      <c r="Q118" t="s">
        <v>319</v>
      </c>
      <c r="R118">
        <v>60</v>
      </c>
      <c r="S118">
        <f>_xlfn.XLOOKUP(Table2[[#This Row],[Obs_date]],'19-20_niwa_temp_data'!B:B,'19-20_niwa_temp_data'!G:G, "N/A")</f>
        <v>17.675972391922318</v>
      </c>
      <c r="T118">
        <f>_xlfn.XLOOKUP(Table2[[#This Row],[First_egg_lay_date]],'19-20_niwa_temp_data'!B:B,'19-20_niwa_temp_data'!G:G, "No Match")</f>
        <v>14.419431334140747</v>
      </c>
    </row>
    <row r="119" spans="1:20" hidden="1" x14ac:dyDescent="0.35">
      <c r="A119" t="s">
        <v>9</v>
      </c>
      <c r="B119" t="s">
        <v>20</v>
      </c>
      <c r="C119" s="3" t="s">
        <v>109</v>
      </c>
      <c r="D119" t="str">
        <f>_xlfn.XLOOKUP(Table2[[#This Row],[Female_ID ]],'19-20_female_cohort'!I:I,'19-20_female_cohort'!H:H, "No Match")</f>
        <v>2014/2015</v>
      </c>
      <c r="E119">
        <v>5</v>
      </c>
      <c r="F119" s="11">
        <v>43772</v>
      </c>
      <c r="G119">
        <f>_xlfn.XLOOKUP(Table2[[#This Row],[First_egg_lay_date]],'19-20_niwa_temp_data'!B:B,'19-20_niwa_temp_data'!G:G, "No Match")</f>
        <v>14.419431334140747</v>
      </c>
      <c r="H119">
        <v>4</v>
      </c>
      <c r="I119" s="11">
        <v>43775</v>
      </c>
      <c r="J119">
        <f>_xlfn.XLOOKUP(Table2[[#This Row],[Nest_box_ID]],Sheet1!A:A,Sheet1!L:L, "No Match")</f>
        <v>0</v>
      </c>
      <c r="K119" s="11">
        <v>43790</v>
      </c>
      <c r="L119">
        <f>_xlfn.XLOOKUP(Table2[[#This Row],[Nest_box_ID]],Sheet1!A:A,Sheet1!K:K, "No Match")</f>
        <v>15</v>
      </c>
      <c r="M119" s="11">
        <v>43776</v>
      </c>
      <c r="N119" s="16">
        <v>0.70833333333333337</v>
      </c>
      <c r="O119">
        <v>2</v>
      </c>
      <c r="P119">
        <v>47.85</v>
      </c>
      <c r="Q119" t="s">
        <v>320</v>
      </c>
      <c r="R119">
        <v>1771</v>
      </c>
      <c r="S119">
        <f>_xlfn.XLOOKUP(Table2[[#This Row],[Obs_date]],'19-20_niwa_temp_data'!B:B,'19-20_niwa_temp_data'!G:G, "N/A")</f>
        <v>17.675972391922318</v>
      </c>
      <c r="T119">
        <f>_xlfn.XLOOKUP(Table2[[#This Row],[First_egg_lay_date]],'19-20_niwa_temp_data'!B:B,'19-20_niwa_temp_data'!G:G, "No Match")</f>
        <v>14.419431334140747</v>
      </c>
    </row>
    <row r="120" spans="1:20" x14ac:dyDescent="0.35">
      <c r="A120" t="s">
        <v>9</v>
      </c>
      <c r="B120" t="s">
        <v>20</v>
      </c>
      <c r="C120" s="3" t="s">
        <v>109</v>
      </c>
      <c r="D120" t="str">
        <f>_xlfn.XLOOKUP(Table2[[#This Row],[Female_ID ]],'19-20_female_cohort'!I:I,'19-20_female_cohort'!H:H, "No Match")</f>
        <v>2014/2015</v>
      </c>
      <c r="E120">
        <v>5</v>
      </c>
      <c r="F120" s="11">
        <v>43772</v>
      </c>
      <c r="G120">
        <f>_xlfn.XLOOKUP(Table2[[#This Row],[First_egg_lay_date]],'19-20_niwa_temp_data'!B:B,'19-20_niwa_temp_data'!G:G, "No Match")</f>
        <v>14.419431334140747</v>
      </c>
      <c r="H120">
        <v>4</v>
      </c>
      <c r="I120" s="11">
        <v>43775</v>
      </c>
      <c r="J120">
        <f>_xlfn.XLOOKUP(Table2[[#This Row],[Nest_box_ID]],Sheet1!A:A,Sheet1!L:L, "No Match")</f>
        <v>0</v>
      </c>
      <c r="K120" s="11">
        <v>43790</v>
      </c>
      <c r="L120">
        <f>_xlfn.XLOOKUP(Table2[[#This Row],[Nest_box_ID]],Sheet1!A:A,Sheet1!K:K, "No Match")</f>
        <v>15</v>
      </c>
      <c r="M120" s="11">
        <v>43776</v>
      </c>
      <c r="N120" s="16">
        <v>0.7288310185185185</v>
      </c>
      <c r="O120">
        <v>2</v>
      </c>
      <c r="P120">
        <v>47.85</v>
      </c>
      <c r="Q120" t="s">
        <v>319</v>
      </c>
      <c r="R120">
        <v>1040</v>
      </c>
      <c r="S120">
        <f>_xlfn.XLOOKUP(Table2[[#This Row],[Obs_date]],'19-20_niwa_temp_data'!B:B,'19-20_niwa_temp_data'!G:G, "N/A")</f>
        <v>17.675972391922318</v>
      </c>
      <c r="T120">
        <f>_xlfn.XLOOKUP(Table2[[#This Row],[First_egg_lay_date]],'19-20_niwa_temp_data'!B:B,'19-20_niwa_temp_data'!G:G, "No Match")</f>
        <v>14.419431334140747</v>
      </c>
    </row>
    <row r="121" spans="1:20" hidden="1" x14ac:dyDescent="0.35">
      <c r="A121" t="s">
        <v>9</v>
      </c>
      <c r="B121" t="s">
        <v>20</v>
      </c>
      <c r="C121" s="3" t="s">
        <v>109</v>
      </c>
      <c r="D121" t="str">
        <f>_xlfn.XLOOKUP(Table2[[#This Row],[Female_ID ]],'19-20_female_cohort'!I:I,'19-20_female_cohort'!H:H, "No Match")</f>
        <v>2014/2015</v>
      </c>
      <c r="E121">
        <v>5</v>
      </c>
      <c r="F121" s="11">
        <v>43772</v>
      </c>
      <c r="G121">
        <f>_xlfn.XLOOKUP(Table2[[#This Row],[First_egg_lay_date]],'19-20_niwa_temp_data'!B:B,'19-20_niwa_temp_data'!G:G, "No Match")</f>
        <v>14.419431334140747</v>
      </c>
      <c r="H121">
        <v>4</v>
      </c>
      <c r="I121" s="11">
        <v>43775</v>
      </c>
      <c r="J121">
        <f>_xlfn.XLOOKUP(Table2[[#This Row],[Nest_box_ID]],Sheet1!A:A,Sheet1!L:L, "No Match")</f>
        <v>0</v>
      </c>
      <c r="K121" s="11">
        <v>43790</v>
      </c>
      <c r="L121">
        <f>_xlfn.XLOOKUP(Table2[[#This Row],[Nest_box_ID]],Sheet1!A:A,Sheet1!K:K, "No Match")</f>
        <v>15</v>
      </c>
      <c r="M121" s="11">
        <v>43776</v>
      </c>
      <c r="N121" s="16">
        <v>0.74086805555555557</v>
      </c>
      <c r="O121">
        <v>2</v>
      </c>
      <c r="P121">
        <v>47.85</v>
      </c>
      <c r="Q121" t="s">
        <v>320</v>
      </c>
      <c r="R121" t="s">
        <v>254</v>
      </c>
      <c r="S121">
        <f>_xlfn.XLOOKUP(Table2[[#This Row],[Obs_date]],'19-20_niwa_temp_data'!B:B,'19-20_niwa_temp_data'!G:G, "N/A")</f>
        <v>17.675972391922318</v>
      </c>
      <c r="T121">
        <f>_xlfn.XLOOKUP(Table2[[#This Row],[First_egg_lay_date]],'19-20_niwa_temp_data'!B:B,'19-20_niwa_temp_data'!G:G, "No Match")</f>
        <v>14.419431334140747</v>
      </c>
    </row>
    <row r="122" spans="1:20" hidden="1" x14ac:dyDescent="0.35">
      <c r="A122" t="s">
        <v>9</v>
      </c>
      <c r="B122" t="s">
        <v>20</v>
      </c>
      <c r="C122" s="3" t="s">
        <v>109</v>
      </c>
      <c r="D122" t="str">
        <f>_xlfn.XLOOKUP(Table2[[#This Row],[Female_ID ]],'19-20_female_cohort'!I:I,'19-20_female_cohort'!H:H, "No Match")</f>
        <v>2014/2015</v>
      </c>
      <c r="E122">
        <v>5</v>
      </c>
      <c r="F122" s="11">
        <v>43772</v>
      </c>
      <c r="G122">
        <f>_xlfn.XLOOKUP(Table2[[#This Row],[First_egg_lay_date]],'19-20_niwa_temp_data'!B:B,'19-20_niwa_temp_data'!G:G, "No Match")</f>
        <v>14.419431334140747</v>
      </c>
      <c r="H122">
        <v>4</v>
      </c>
      <c r="I122" s="11">
        <v>43775</v>
      </c>
      <c r="J122">
        <f>_xlfn.XLOOKUP(Table2[[#This Row],[Nest_box_ID]],Sheet1!A:A,Sheet1!L:L, "No Match")</f>
        <v>0</v>
      </c>
      <c r="K122" s="11">
        <v>43790</v>
      </c>
      <c r="L122">
        <f>_xlfn.XLOOKUP(Table2[[#This Row],[Nest_box_ID]],Sheet1!A:A,Sheet1!K:K, "No Match")</f>
        <v>15</v>
      </c>
      <c r="M122" s="11">
        <v>43776</v>
      </c>
      <c r="N122" s="16">
        <v>0.70833333333333337</v>
      </c>
      <c r="O122">
        <v>1</v>
      </c>
      <c r="P122">
        <v>47.85</v>
      </c>
      <c r="Q122" t="s">
        <v>320</v>
      </c>
      <c r="R122">
        <v>1771</v>
      </c>
      <c r="S122">
        <f>_xlfn.XLOOKUP(Table2[[#This Row],[Obs_date]],'19-20_niwa_temp_data'!B:B,'19-20_niwa_temp_data'!G:G, "N/A")</f>
        <v>17.675972391922318</v>
      </c>
      <c r="T122">
        <f>_xlfn.XLOOKUP(Table2[[#This Row],[First_egg_lay_date]],'19-20_niwa_temp_data'!B:B,'19-20_niwa_temp_data'!G:G, "No Match")</f>
        <v>14.419431334140747</v>
      </c>
    </row>
    <row r="123" spans="1:20" x14ac:dyDescent="0.35">
      <c r="A123" t="s">
        <v>9</v>
      </c>
      <c r="B123" t="s">
        <v>20</v>
      </c>
      <c r="C123" s="3" t="s">
        <v>109</v>
      </c>
      <c r="D123" t="str">
        <f>_xlfn.XLOOKUP(Table2[[#This Row],[Female_ID ]],'19-20_female_cohort'!I:I,'19-20_female_cohort'!H:H, "No Match")</f>
        <v>2014/2015</v>
      </c>
      <c r="E123">
        <v>5</v>
      </c>
      <c r="F123" s="11">
        <v>43772</v>
      </c>
      <c r="G123">
        <f>_xlfn.XLOOKUP(Table2[[#This Row],[First_egg_lay_date]],'19-20_niwa_temp_data'!B:B,'19-20_niwa_temp_data'!G:G, "No Match")</f>
        <v>14.419431334140747</v>
      </c>
      <c r="H123">
        <v>4</v>
      </c>
      <c r="I123" s="11">
        <v>43775</v>
      </c>
      <c r="J123">
        <f>_xlfn.XLOOKUP(Table2[[#This Row],[Nest_box_ID]],Sheet1!A:A,Sheet1!L:L, "No Match")</f>
        <v>0</v>
      </c>
      <c r="K123" s="11">
        <v>43790</v>
      </c>
      <c r="L123">
        <f>_xlfn.XLOOKUP(Table2[[#This Row],[Nest_box_ID]],Sheet1!A:A,Sheet1!K:K, "No Match")</f>
        <v>15</v>
      </c>
      <c r="M123" s="11">
        <v>43776</v>
      </c>
      <c r="N123" s="16">
        <v>0.7288310185185185</v>
      </c>
      <c r="O123">
        <v>1</v>
      </c>
      <c r="P123">
        <v>47.85</v>
      </c>
      <c r="Q123" t="s">
        <v>319</v>
      </c>
      <c r="R123">
        <v>1040</v>
      </c>
      <c r="S123">
        <f>_xlfn.XLOOKUP(Table2[[#This Row],[Obs_date]],'19-20_niwa_temp_data'!B:B,'19-20_niwa_temp_data'!G:G, "N/A")</f>
        <v>17.675972391922318</v>
      </c>
      <c r="T123">
        <f>_xlfn.XLOOKUP(Table2[[#This Row],[First_egg_lay_date]],'19-20_niwa_temp_data'!B:B,'19-20_niwa_temp_data'!G:G, "No Match")</f>
        <v>14.419431334140747</v>
      </c>
    </row>
    <row r="124" spans="1:20" hidden="1" x14ac:dyDescent="0.35">
      <c r="A124" t="s">
        <v>9</v>
      </c>
      <c r="B124" t="s">
        <v>20</v>
      </c>
      <c r="C124" s="3" t="s">
        <v>109</v>
      </c>
      <c r="D124" t="str">
        <f>_xlfn.XLOOKUP(Table2[[#This Row],[Female_ID ]],'19-20_female_cohort'!I:I,'19-20_female_cohort'!H:H, "No Match")</f>
        <v>2014/2015</v>
      </c>
      <c r="E124">
        <v>5</v>
      </c>
      <c r="F124" s="11">
        <v>43772</v>
      </c>
      <c r="G124">
        <f>_xlfn.XLOOKUP(Table2[[#This Row],[First_egg_lay_date]],'19-20_niwa_temp_data'!B:B,'19-20_niwa_temp_data'!G:G, "No Match")</f>
        <v>14.419431334140747</v>
      </c>
      <c r="H124">
        <v>4</v>
      </c>
      <c r="I124" s="11">
        <v>43775</v>
      </c>
      <c r="J124">
        <f>_xlfn.XLOOKUP(Table2[[#This Row],[Nest_box_ID]],Sheet1!A:A,Sheet1!L:L, "No Match")</f>
        <v>0</v>
      </c>
      <c r="K124" s="11">
        <v>43790</v>
      </c>
      <c r="L124">
        <f>_xlfn.XLOOKUP(Table2[[#This Row],[Nest_box_ID]],Sheet1!A:A,Sheet1!K:K, "No Match")</f>
        <v>15</v>
      </c>
      <c r="M124" s="11">
        <v>43776</v>
      </c>
      <c r="N124" s="16">
        <v>0.74086805555555557</v>
      </c>
      <c r="O124">
        <v>1</v>
      </c>
      <c r="P124">
        <v>47.85</v>
      </c>
      <c r="Q124" t="s">
        <v>320</v>
      </c>
      <c r="R124" t="s">
        <v>254</v>
      </c>
      <c r="S124">
        <f>_xlfn.XLOOKUP(Table2[[#This Row],[Obs_date]],'19-20_niwa_temp_data'!B:B,'19-20_niwa_temp_data'!G:G, "N/A")</f>
        <v>17.675972391922318</v>
      </c>
      <c r="T124">
        <f>_xlfn.XLOOKUP(Table2[[#This Row],[First_egg_lay_date]],'19-20_niwa_temp_data'!B:B,'19-20_niwa_temp_data'!G:G, "No Match")</f>
        <v>14.419431334140747</v>
      </c>
    </row>
    <row r="125" spans="1:20" hidden="1" x14ac:dyDescent="0.35">
      <c r="A125" t="s">
        <v>9</v>
      </c>
      <c r="B125" t="s">
        <v>20</v>
      </c>
      <c r="C125" s="3" t="s">
        <v>109</v>
      </c>
      <c r="D125" t="str">
        <f>_xlfn.XLOOKUP(Table2[[#This Row],[Female_ID ]],'19-20_female_cohort'!I:I,'19-20_female_cohort'!H:H, "No Match")</f>
        <v>2014/2015</v>
      </c>
      <c r="E125">
        <v>5</v>
      </c>
      <c r="F125" s="11">
        <v>43772</v>
      </c>
      <c r="G125">
        <f>_xlfn.XLOOKUP(Table2[[#This Row],[First_egg_lay_date]],'19-20_niwa_temp_data'!B:B,'19-20_niwa_temp_data'!G:G, "No Match")</f>
        <v>14.419431334140747</v>
      </c>
      <c r="H125">
        <v>4</v>
      </c>
      <c r="I125" s="11">
        <v>43775</v>
      </c>
      <c r="J125">
        <f>_xlfn.XLOOKUP(Table2[[#This Row],[Nest_box_ID]],Sheet1!A:A,Sheet1!L:L, "No Match")</f>
        <v>0</v>
      </c>
      <c r="K125" s="11">
        <v>43790</v>
      </c>
      <c r="L125">
        <f>_xlfn.XLOOKUP(Table2[[#This Row],[Nest_box_ID]],Sheet1!A:A,Sheet1!K:K, "No Match")</f>
        <v>15</v>
      </c>
      <c r="M125" s="11">
        <v>43777</v>
      </c>
      <c r="N125" s="16">
        <v>0.68788194444444439</v>
      </c>
      <c r="O125">
        <v>2</v>
      </c>
      <c r="P125">
        <v>47.85</v>
      </c>
      <c r="Q125" t="s">
        <v>320</v>
      </c>
      <c r="R125">
        <v>610</v>
      </c>
      <c r="S125">
        <f>_xlfn.XLOOKUP(Table2[[#This Row],[Obs_date]],'19-20_niwa_temp_data'!B:B,'19-20_niwa_temp_data'!G:G, "N/A")</f>
        <v>16.736785832411194</v>
      </c>
      <c r="T125">
        <f>_xlfn.XLOOKUP(Table2[[#This Row],[First_egg_lay_date]],'19-20_niwa_temp_data'!B:B,'19-20_niwa_temp_data'!G:G, "No Match")</f>
        <v>14.419431334140747</v>
      </c>
    </row>
    <row r="126" spans="1:20" x14ac:dyDescent="0.35">
      <c r="A126" t="s">
        <v>9</v>
      </c>
      <c r="B126" t="s">
        <v>20</v>
      </c>
      <c r="C126" s="3" t="s">
        <v>109</v>
      </c>
      <c r="D126" t="str">
        <f>_xlfn.XLOOKUP(Table2[[#This Row],[Female_ID ]],'19-20_female_cohort'!I:I,'19-20_female_cohort'!H:H, "No Match")</f>
        <v>2014/2015</v>
      </c>
      <c r="E126">
        <v>5</v>
      </c>
      <c r="F126" s="11">
        <v>43772</v>
      </c>
      <c r="G126">
        <f>_xlfn.XLOOKUP(Table2[[#This Row],[First_egg_lay_date]],'19-20_niwa_temp_data'!B:B,'19-20_niwa_temp_data'!G:G, "No Match")</f>
        <v>14.419431334140747</v>
      </c>
      <c r="H126">
        <v>4</v>
      </c>
      <c r="I126" s="11">
        <v>43775</v>
      </c>
      <c r="J126">
        <f>_xlfn.XLOOKUP(Table2[[#This Row],[Nest_box_ID]],Sheet1!A:A,Sheet1!L:L, "No Match")</f>
        <v>0</v>
      </c>
      <c r="K126" s="11">
        <v>43790</v>
      </c>
      <c r="L126">
        <f>_xlfn.XLOOKUP(Table2[[#This Row],[Nest_box_ID]],Sheet1!A:A,Sheet1!K:K, "No Match")</f>
        <v>15</v>
      </c>
      <c r="M126" s="11">
        <v>43777</v>
      </c>
      <c r="N126" s="16">
        <v>0.69494212962962965</v>
      </c>
      <c r="O126">
        <v>2</v>
      </c>
      <c r="P126">
        <v>47.85</v>
      </c>
      <c r="Q126" t="s">
        <v>319</v>
      </c>
      <c r="R126">
        <v>391</v>
      </c>
      <c r="S126">
        <f>_xlfn.XLOOKUP(Table2[[#This Row],[Obs_date]],'19-20_niwa_temp_data'!B:B,'19-20_niwa_temp_data'!G:G, "N/A")</f>
        <v>16.736785832411194</v>
      </c>
      <c r="T126">
        <f>_xlfn.XLOOKUP(Table2[[#This Row],[First_egg_lay_date]],'19-20_niwa_temp_data'!B:B,'19-20_niwa_temp_data'!G:G, "No Match")</f>
        <v>14.419431334140747</v>
      </c>
    </row>
    <row r="127" spans="1:20" hidden="1" x14ac:dyDescent="0.35">
      <c r="A127" t="s">
        <v>9</v>
      </c>
      <c r="B127" t="s">
        <v>20</v>
      </c>
      <c r="C127" s="3" t="s">
        <v>109</v>
      </c>
      <c r="D127" t="str">
        <f>_xlfn.XLOOKUP(Table2[[#This Row],[Female_ID ]],'19-20_female_cohort'!I:I,'19-20_female_cohort'!H:H, "No Match")</f>
        <v>2014/2015</v>
      </c>
      <c r="E127">
        <v>5</v>
      </c>
      <c r="F127" s="11">
        <v>43772</v>
      </c>
      <c r="G127">
        <f>_xlfn.XLOOKUP(Table2[[#This Row],[First_egg_lay_date]],'19-20_niwa_temp_data'!B:B,'19-20_niwa_temp_data'!G:G, "No Match")</f>
        <v>14.419431334140747</v>
      </c>
      <c r="H127">
        <v>4</v>
      </c>
      <c r="I127" s="11">
        <v>43775</v>
      </c>
      <c r="J127">
        <f>_xlfn.XLOOKUP(Table2[[#This Row],[Nest_box_ID]],Sheet1!A:A,Sheet1!L:L, "No Match")</f>
        <v>0</v>
      </c>
      <c r="K127" s="11">
        <v>43790</v>
      </c>
      <c r="L127">
        <f>_xlfn.XLOOKUP(Table2[[#This Row],[Nest_box_ID]],Sheet1!A:A,Sheet1!K:K, "No Match")</f>
        <v>15</v>
      </c>
      <c r="M127" s="11">
        <v>43777</v>
      </c>
      <c r="N127" s="16">
        <v>0.69946759259259261</v>
      </c>
      <c r="O127">
        <v>2</v>
      </c>
      <c r="P127">
        <v>47.85</v>
      </c>
      <c r="Q127" t="s">
        <v>320</v>
      </c>
      <c r="R127">
        <v>1757</v>
      </c>
      <c r="S127">
        <f>_xlfn.XLOOKUP(Table2[[#This Row],[Obs_date]],'19-20_niwa_temp_data'!B:B,'19-20_niwa_temp_data'!G:G, "N/A")</f>
        <v>16.736785832411194</v>
      </c>
      <c r="T127">
        <f>_xlfn.XLOOKUP(Table2[[#This Row],[First_egg_lay_date]],'19-20_niwa_temp_data'!B:B,'19-20_niwa_temp_data'!G:G, "No Match")</f>
        <v>14.419431334140747</v>
      </c>
    </row>
    <row r="128" spans="1:20" x14ac:dyDescent="0.35">
      <c r="A128" t="s">
        <v>9</v>
      </c>
      <c r="B128" t="s">
        <v>20</v>
      </c>
      <c r="C128" s="3" t="s">
        <v>109</v>
      </c>
      <c r="D128" t="str">
        <f>_xlfn.XLOOKUP(Table2[[#This Row],[Female_ID ]],'19-20_female_cohort'!I:I,'19-20_female_cohort'!H:H, "No Match")</f>
        <v>2014/2015</v>
      </c>
      <c r="E128">
        <v>5</v>
      </c>
      <c r="F128" s="11">
        <v>43772</v>
      </c>
      <c r="G128">
        <f>_xlfn.XLOOKUP(Table2[[#This Row],[First_egg_lay_date]],'19-20_niwa_temp_data'!B:B,'19-20_niwa_temp_data'!G:G, "No Match")</f>
        <v>14.419431334140747</v>
      </c>
      <c r="H128">
        <v>4</v>
      </c>
      <c r="I128" s="11">
        <v>43775</v>
      </c>
      <c r="J128">
        <f>_xlfn.XLOOKUP(Table2[[#This Row],[Nest_box_ID]],Sheet1!A:A,Sheet1!L:L, "No Match")</f>
        <v>0</v>
      </c>
      <c r="K128" s="11">
        <v>43790</v>
      </c>
      <c r="L128">
        <f>_xlfn.XLOOKUP(Table2[[#This Row],[Nest_box_ID]],Sheet1!A:A,Sheet1!K:K, "No Match")</f>
        <v>15</v>
      </c>
      <c r="M128" s="11">
        <v>43777</v>
      </c>
      <c r="N128" s="16">
        <v>0.71980324074074076</v>
      </c>
      <c r="O128">
        <v>2</v>
      </c>
      <c r="P128">
        <v>47.85</v>
      </c>
      <c r="Q128" t="s">
        <v>319</v>
      </c>
      <c r="R128">
        <v>431</v>
      </c>
      <c r="S128">
        <f>_xlfn.XLOOKUP(Table2[[#This Row],[Obs_date]],'19-20_niwa_temp_data'!B:B,'19-20_niwa_temp_data'!G:G, "N/A")</f>
        <v>16.736785832411194</v>
      </c>
      <c r="T128">
        <f>_xlfn.XLOOKUP(Table2[[#This Row],[First_egg_lay_date]],'19-20_niwa_temp_data'!B:B,'19-20_niwa_temp_data'!G:G, "No Match")</f>
        <v>14.419431334140747</v>
      </c>
    </row>
    <row r="129" spans="1:20" hidden="1" x14ac:dyDescent="0.35">
      <c r="A129" t="s">
        <v>9</v>
      </c>
      <c r="B129" t="s">
        <v>20</v>
      </c>
      <c r="C129" s="3" t="s">
        <v>109</v>
      </c>
      <c r="D129" t="str">
        <f>_xlfn.XLOOKUP(Table2[[#This Row],[Female_ID ]],'19-20_female_cohort'!I:I,'19-20_female_cohort'!H:H, "No Match")</f>
        <v>2014/2015</v>
      </c>
      <c r="E129">
        <v>5</v>
      </c>
      <c r="F129" s="11">
        <v>43772</v>
      </c>
      <c r="G129">
        <f>_xlfn.XLOOKUP(Table2[[#This Row],[First_egg_lay_date]],'19-20_niwa_temp_data'!B:B,'19-20_niwa_temp_data'!G:G, "No Match")</f>
        <v>14.419431334140747</v>
      </c>
      <c r="H129">
        <v>4</v>
      </c>
      <c r="I129" s="11">
        <v>43775</v>
      </c>
      <c r="J129">
        <f>_xlfn.XLOOKUP(Table2[[#This Row],[Nest_box_ID]],Sheet1!A:A,Sheet1!L:L, "No Match")</f>
        <v>0</v>
      </c>
      <c r="K129" s="11">
        <v>43790</v>
      </c>
      <c r="L129">
        <f>_xlfn.XLOOKUP(Table2[[#This Row],[Nest_box_ID]],Sheet1!A:A,Sheet1!K:K, "No Match")</f>
        <v>15</v>
      </c>
      <c r="M129" s="11">
        <v>43777</v>
      </c>
      <c r="N129" s="16">
        <v>0.72479166666666661</v>
      </c>
      <c r="O129">
        <v>2</v>
      </c>
      <c r="P129">
        <v>47.85</v>
      </c>
      <c r="Q129" t="s">
        <v>320</v>
      </c>
      <c r="R129">
        <v>1625</v>
      </c>
      <c r="S129">
        <f>_xlfn.XLOOKUP(Table2[[#This Row],[Obs_date]],'19-20_niwa_temp_data'!B:B,'19-20_niwa_temp_data'!G:G, "N/A")</f>
        <v>16.736785832411194</v>
      </c>
      <c r="T129">
        <f>_xlfn.XLOOKUP(Table2[[#This Row],[First_egg_lay_date]],'19-20_niwa_temp_data'!B:B,'19-20_niwa_temp_data'!G:G, "No Match")</f>
        <v>14.419431334140747</v>
      </c>
    </row>
    <row r="130" spans="1:20" x14ac:dyDescent="0.35">
      <c r="A130" t="s">
        <v>9</v>
      </c>
      <c r="B130" t="s">
        <v>20</v>
      </c>
      <c r="C130" s="3" t="s">
        <v>109</v>
      </c>
      <c r="D130" t="str">
        <f>_xlfn.XLOOKUP(Table2[[#This Row],[Female_ID ]],'19-20_female_cohort'!I:I,'19-20_female_cohort'!H:H, "No Match")</f>
        <v>2014/2015</v>
      </c>
      <c r="E130">
        <v>5</v>
      </c>
      <c r="F130" s="11">
        <v>43772</v>
      </c>
      <c r="G130">
        <f>_xlfn.XLOOKUP(Table2[[#This Row],[First_egg_lay_date]],'19-20_niwa_temp_data'!B:B,'19-20_niwa_temp_data'!G:G, "No Match")</f>
        <v>14.419431334140747</v>
      </c>
      <c r="H130">
        <v>4</v>
      </c>
      <c r="I130" s="11">
        <v>43775</v>
      </c>
      <c r="J130">
        <f>_xlfn.XLOOKUP(Table2[[#This Row],[Nest_box_ID]],Sheet1!A:A,Sheet1!L:L, "No Match")</f>
        <v>0</v>
      </c>
      <c r="K130" s="11">
        <v>43790</v>
      </c>
      <c r="L130">
        <f>_xlfn.XLOOKUP(Table2[[#This Row],[Nest_box_ID]],Sheet1!A:A,Sheet1!K:K, "No Match")</f>
        <v>15</v>
      </c>
      <c r="M130" s="11">
        <v>43777</v>
      </c>
      <c r="N130" s="16">
        <v>0.74359953703703707</v>
      </c>
      <c r="O130">
        <v>2</v>
      </c>
      <c r="P130">
        <v>47.85</v>
      </c>
      <c r="Q130" t="s">
        <v>319</v>
      </c>
      <c r="R130">
        <v>454</v>
      </c>
      <c r="S130">
        <f>_xlfn.XLOOKUP(Table2[[#This Row],[Obs_date]],'19-20_niwa_temp_data'!B:B,'19-20_niwa_temp_data'!G:G, "N/A")</f>
        <v>16.736785832411194</v>
      </c>
      <c r="T130">
        <f>_xlfn.XLOOKUP(Table2[[#This Row],[First_egg_lay_date]],'19-20_niwa_temp_data'!B:B,'19-20_niwa_temp_data'!G:G, "No Match")</f>
        <v>14.419431334140747</v>
      </c>
    </row>
    <row r="131" spans="1:20" hidden="1" x14ac:dyDescent="0.35">
      <c r="A131" t="s">
        <v>9</v>
      </c>
      <c r="B131" t="s">
        <v>20</v>
      </c>
      <c r="C131" s="3" t="s">
        <v>109</v>
      </c>
      <c r="D131" t="str">
        <f>_xlfn.XLOOKUP(Table2[[#This Row],[Female_ID ]],'19-20_female_cohort'!I:I,'19-20_female_cohort'!H:H, "No Match")</f>
        <v>2014/2015</v>
      </c>
      <c r="E131">
        <v>5</v>
      </c>
      <c r="F131" s="11">
        <v>43772</v>
      </c>
      <c r="G131">
        <f>_xlfn.XLOOKUP(Table2[[#This Row],[First_egg_lay_date]],'19-20_niwa_temp_data'!B:B,'19-20_niwa_temp_data'!G:G, "No Match")</f>
        <v>14.419431334140747</v>
      </c>
      <c r="H131">
        <v>4</v>
      </c>
      <c r="I131" s="11">
        <v>43775</v>
      </c>
      <c r="J131">
        <f>_xlfn.XLOOKUP(Table2[[#This Row],[Nest_box_ID]],Sheet1!A:A,Sheet1!L:L, "No Match")</f>
        <v>0</v>
      </c>
      <c r="K131" s="11">
        <v>43790</v>
      </c>
      <c r="L131">
        <f>_xlfn.XLOOKUP(Table2[[#This Row],[Nest_box_ID]],Sheet1!A:A,Sheet1!K:K, "No Match")</f>
        <v>15</v>
      </c>
      <c r="M131" s="11">
        <v>43777</v>
      </c>
      <c r="N131" s="16">
        <v>0.74885416666666671</v>
      </c>
      <c r="O131">
        <v>2</v>
      </c>
      <c r="P131">
        <v>47.85</v>
      </c>
      <c r="Q131" t="s">
        <v>320</v>
      </c>
      <c r="R131" t="s">
        <v>254</v>
      </c>
      <c r="S131">
        <f>_xlfn.XLOOKUP(Table2[[#This Row],[Obs_date]],'19-20_niwa_temp_data'!B:B,'19-20_niwa_temp_data'!G:G, "N/A")</f>
        <v>16.736785832411194</v>
      </c>
      <c r="T131">
        <f>_xlfn.XLOOKUP(Table2[[#This Row],[First_egg_lay_date]],'19-20_niwa_temp_data'!B:B,'19-20_niwa_temp_data'!G:G, "No Match")</f>
        <v>14.419431334140747</v>
      </c>
    </row>
    <row r="132" spans="1:20" x14ac:dyDescent="0.35">
      <c r="A132" t="s">
        <v>9</v>
      </c>
      <c r="B132" t="s">
        <v>20</v>
      </c>
      <c r="C132" s="3" t="s">
        <v>109</v>
      </c>
      <c r="D132" t="str">
        <f>_xlfn.XLOOKUP(Table2[[#This Row],[Female_ID ]],'19-20_female_cohort'!I:I,'19-20_female_cohort'!H:H, "No Match")</f>
        <v>2014/2015</v>
      </c>
      <c r="E132">
        <v>5</v>
      </c>
      <c r="F132" s="11">
        <v>43772</v>
      </c>
      <c r="G132">
        <f>_xlfn.XLOOKUP(Table2[[#This Row],[First_egg_lay_date]],'19-20_niwa_temp_data'!B:B,'19-20_niwa_temp_data'!G:G, "No Match")</f>
        <v>14.419431334140747</v>
      </c>
      <c r="H132">
        <v>4</v>
      </c>
      <c r="I132" s="11">
        <v>43775</v>
      </c>
      <c r="J132">
        <f>_xlfn.XLOOKUP(Table2[[#This Row],[Nest_box_ID]],Sheet1!A:A,Sheet1!L:L, "No Match")</f>
        <v>0</v>
      </c>
      <c r="K132" s="11">
        <v>43790</v>
      </c>
      <c r="L132">
        <f>_xlfn.XLOOKUP(Table2[[#This Row],[Nest_box_ID]],Sheet1!A:A,Sheet1!K:K, "No Match")</f>
        <v>15</v>
      </c>
      <c r="M132" s="11">
        <v>43782</v>
      </c>
      <c r="N132" s="16">
        <v>0.72629629629629633</v>
      </c>
      <c r="O132">
        <v>7</v>
      </c>
      <c r="P132">
        <v>65</v>
      </c>
      <c r="Q132" t="s">
        <v>319</v>
      </c>
      <c r="R132">
        <v>281</v>
      </c>
      <c r="S132">
        <f>_xlfn.XLOOKUP(Table2[[#This Row],[Obs_date]],'19-20_niwa_temp_data'!B:B,'19-20_niwa_temp_data'!G:G, "N/A")</f>
        <v>11.944873377311289</v>
      </c>
      <c r="T132">
        <f>_xlfn.XLOOKUP(Table2[[#This Row],[First_egg_lay_date]],'19-20_niwa_temp_data'!B:B,'19-20_niwa_temp_data'!G:G, "No Match")</f>
        <v>14.419431334140747</v>
      </c>
    </row>
    <row r="133" spans="1:20" hidden="1" x14ac:dyDescent="0.35">
      <c r="A133" t="s">
        <v>9</v>
      </c>
      <c r="B133" t="s">
        <v>20</v>
      </c>
      <c r="C133" s="3" t="s">
        <v>109</v>
      </c>
      <c r="D133" t="str">
        <f>_xlfn.XLOOKUP(Table2[[#This Row],[Female_ID ]],'19-20_female_cohort'!I:I,'19-20_female_cohort'!H:H, "No Match")</f>
        <v>2014/2015</v>
      </c>
      <c r="E133">
        <v>5</v>
      </c>
      <c r="F133" s="11">
        <v>43772</v>
      </c>
      <c r="G133">
        <f>_xlfn.XLOOKUP(Table2[[#This Row],[First_egg_lay_date]],'19-20_niwa_temp_data'!B:B,'19-20_niwa_temp_data'!G:G, "No Match")</f>
        <v>14.419431334140747</v>
      </c>
      <c r="H133">
        <v>4</v>
      </c>
      <c r="I133" s="11">
        <v>43775</v>
      </c>
      <c r="J133">
        <f>_xlfn.XLOOKUP(Table2[[#This Row],[Nest_box_ID]],Sheet1!A:A,Sheet1!L:L, "No Match")</f>
        <v>0</v>
      </c>
      <c r="K133" s="11">
        <v>43790</v>
      </c>
      <c r="L133">
        <f>_xlfn.XLOOKUP(Table2[[#This Row],[Nest_box_ID]],Sheet1!A:A,Sheet1!K:K, "No Match")</f>
        <v>15</v>
      </c>
      <c r="M133" s="11">
        <v>43782</v>
      </c>
      <c r="N133" s="16">
        <v>0.72954861111111113</v>
      </c>
      <c r="O133">
        <v>7</v>
      </c>
      <c r="P133">
        <v>65</v>
      </c>
      <c r="Q133" t="s">
        <v>320</v>
      </c>
      <c r="R133">
        <v>2007</v>
      </c>
      <c r="S133">
        <f>_xlfn.XLOOKUP(Table2[[#This Row],[Obs_date]],'19-20_niwa_temp_data'!B:B,'19-20_niwa_temp_data'!G:G, "N/A")</f>
        <v>11.944873377311289</v>
      </c>
      <c r="T133">
        <f>_xlfn.XLOOKUP(Table2[[#This Row],[First_egg_lay_date]],'19-20_niwa_temp_data'!B:B,'19-20_niwa_temp_data'!G:G, "No Match")</f>
        <v>14.419431334140747</v>
      </c>
    </row>
    <row r="134" spans="1:20" hidden="1" x14ac:dyDescent="0.35">
      <c r="A134" t="s">
        <v>9</v>
      </c>
      <c r="B134" t="s">
        <v>20</v>
      </c>
      <c r="C134" s="3" t="s">
        <v>109</v>
      </c>
      <c r="D134" t="str">
        <f>_xlfn.XLOOKUP(Table2[[#This Row],[Female_ID ]],'19-20_female_cohort'!I:I,'19-20_female_cohort'!H:H, "No Match")</f>
        <v>2014/2015</v>
      </c>
      <c r="E134">
        <v>5</v>
      </c>
      <c r="F134" s="11">
        <v>43772</v>
      </c>
      <c r="G134">
        <f>_xlfn.XLOOKUP(Table2[[#This Row],[First_egg_lay_date]],'19-20_niwa_temp_data'!B:B,'19-20_niwa_temp_data'!G:G, "No Match")</f>
        <v>14.419431334140747</v>
      </c>
      <c r="H134">
        <v>4</v>
      </c>
      <c r="I134" s="11">
        <v>43775</v>
      </c>
      <c r="J134">
        <f>_xlfn.XLOOKUP(Table2[[#This Row],[Nest_box_ID]],Sheet1!A:A,Sheet1!L:L, "No Match")</f>
        <v>0</v>
      </c>
      <c r="K134" s="11">
        <v>43790</v>
      </c>
      <c r="L134">
        <f>_xlfn.XLOOKUP(Table2[[#This Row],[Nest_box_ID]],Sheet1!A:A,Sheet1!K:K, "No Match")</f>
        <v>15</v>
      </c>
      <c r="M134" s="11">
        <v>43782</v>
      </c>
      <c r="N134" s="16">
        <v>0.75277777777777777</v>
      </c>
      <c r="O134">
        <v>7</v>
      </c>
      <c r="P134">
        <v>65</v>
      </c>
      <c r="Q134" t="s">
        <v>319</v>
      </c>
      <c r="R134" t="s">
        <v>254</v>
      </c>
      <c r="S134">
        <f>_xlfn.XLOOKUP(Table2[[#This Row],[Obs_date]],'19-20_niwa_temp_data'!B:B,'19-20_niwa_temp_data'!G:G, "N/A")</f>
        <v>11.944873377311289</v>
      </c>
      <c r="T134">
        <f>_xlfn.XLOOKUP(Table2[[#This Row],[First_egg_lay_date]],'19-20_niwa_temp_data'!B:B,'19-20_niwa_temp_data'!G:G, "No Match")</f>
        <v>14.419431334140747</v>
      </c>
    </row>
    <row r="135" spans="1:20" hidden="1" x14ac:dyDescent="0.35">
      <c r="A135" t="s">
        <v>9</v>
      </c>
      <c r="B135" t="s">
        <v>20</v>
      </c>
      <c r="C135" s="3" t="s">
        <v>109</v>
      </c>
      <c r="D135" t="str">
        <f>_xlfn.XLOOKUP(Table2[[#This Row],[Female_ID ]],'19-20_female_cohort'!I:I,'19-20_female_cohort'!H:H, "No Match")</f>
        <v>2014/2015</v>
      </c>
      <c r="E135">
        <v>5</v>
      </c>
      <c r="F135" s="11">
        <v>43772</v>
      </c>
      <c r="G135">
        <f>_xlfn.XLOOKUP(Table2[[#This Row],[First_egg_lay_date]],'19-20_niwa_temp_data'!B:B,'19-20_niwa_temp_data'!G:G, "No Match")</f>
        <v>14.419431334140747</v>
      </c>
      <c r="H135">
        <v>4</v>
      </c>
      <c r="I135" s="11">
        <v>43775</v>
      </c>
      <c r="J135">
        <f>_xlfn.XLOOKUP(Table2[[#This Row],[Nest_box_ID]],Sheet1!A:A,Sheet1!L:L, "No Match")</f>
        <v>0</v>
      </c>
      <c r="K135" s="11">
        <v>43790</v>
      </c>
      <c r="L135">
        <f>_xlfn.XLOOKUP(Table2[[#This Row],[Nest_box_ID]],Sheet1!A:A,Sheet1!K:K, "No Match")</f>
        <v>15</v>
      </c>
      <c r="M135" s="11">
        <v>43788</v>
      </c>
      <c r="N135" s="16">
        <v>0.48716435185185186</v>
      </c>
      <c r="O135">
        <v>13</v>
      </c>
      <c r="P135">
        <v>60</v>
      </c>
      <c r="Q135" t="s">
        <v>320</v>
      </c>
      <c r="R135">
        <v>1871</v>
      </c>
      <c r="S135">
        <f>_xlfn.XLOOKUP(Table2[[#This Row],[Obs_date]],'19-20_niwa_temp_data'!B:B,'19-20_niwa_temp_data'!G:G, "N/A")</f>
        <v>14.974979131871937</v>
      </c>
      <c r="T135">
        <f>_xlfn.XLOOKUP(Table2[[#This Row],[First_egg_lay_date]],'19-20_niwa_temp_data'!B:B,'19-20_niwa_temp_data'!G:G, "No Match")</f>
        <v>14.419431334140747</v>
      </c>
    </row>
    <row r="136" spans="1:20" x14ac:dyDescent="0.35">
      <c r="A136" t="s">
        <v>9</v>
      </c>
      <c r="B136" t="s">
        <v>20</v>
      </c>
      <c r="C136" s="3" t="s">
        <v>109</v>
      </c>
      <c r="D136" t="str">
        <f>_xlfn.XLOOKUP(Table2[[#This Row],[Female_ID ]],'19-20_female_cohort'!I:I,'19-20_female_cohort'!H:H, "No Match")</f>
        <v>2014/2015</v>
      </c>
      <c r="E136">
        <v>5</v>
      </c>
      <c r="F136" s="11">
        <v>43772</v>
      </c>
      <c r="G136">
        <f>_xlfn.XLOOKUP(Table2[[#This Row],[First_egg_lay_date]],'19-20_niwa_temp_data'!B:B,'19-20_niwa_temp_data'!G:G, "No Match")</f>
        <v>14.419431334140747</v>
      </c>
      <c r="H136">
        <v>4</v>
      </c>
      <c r="I136" s="11">
        <v>43775</v>
      </c>
      <c r="J136">
        <f>_xlfn.XLOOKUP(Table2[[#This Row],[Nest_box_ID]],Sheet1!A:A,Sheet1!L:L, "No Match")</f>
        <v>0</v>
      </c>
      <c r="K136" s="11">
        <v>43790</v>
      </c>
      <c r="L136">
        <f>_xlfn.XLOOKUP(Table2[[#This Row],[Nest_box_ID]],Sheet1!A:A,Sheet1!K:K, "No Match")</f>
        <v>15</v>
      </c>
      <c r="M136" s="11">
        <v>43788</v>
      </c>
      <c r="N136" s="16">
        <v>0.50881944444444449</v>
      </c>
      <c r="O136">
        <v>13</v>
      </c>
      <c r="P136">
        <v>60</v>
      </c>
      <c r="Q136" t="s">
        <v>319</v>
      </c>
      <c r="R136">
        <v>348</v>
      </c>
      <c r="S136">
        <f>_xlfn.XLOOKUP(Table2[[#This Row],[Obs_date]],'19-20_niwa_temp_data'!B:B,'19-20_niwa_temp_data'!G:G, "N/A")</f>
        <v>14.974979131871937</v>
      </c>
      <c r="T136">
        <f>_xlfn.XLOOKUP(Table2[[#This Row],[First_egg_lay_date]],'19-20_niwa_temp_data'!B:B,'19-20_niwa_temp_data'!G:G, "No Match")</f>
        <v>14.419431334140747</v>
      </c>
    </row>
    <row r="137" spans="1:20" hidden="1" x14ac:dyDescent="0.35">
      <c r="A137" t="s">
        <v>9</v>
      </c>
      <c r="B137" t="s">
        <v>20</v>
      </c>
      <c r="C137" s="3" t="s">
        <v>109</v>
      </c>
      <c r="D137" t="str">
        <f>_xlfn.XLOOKUP(Table2[[#This Row],[Female_ID ]],'19-20_female_cohort'!I:I,'19-20_female_cohort'!H:H, "No Match")</f>
        <v>2014/2015</v>
      </c>
      <c r="E137">
        <v>5</v>
      </c>
      <c r="F137" s="11">
        <v>43772</v>
      </c>
      <c r="G137">
        <f>_xlfn.XLOOKUP(Table2[[#This Row],[First_egg_lay_date]],'19-20_niwa_temp_data'!B:B,'19-20_niwa_temp_data'!G:G, "No Match")</f>
        <v>14.419431334140747</v>
      </c>
      <c r="H137">
        <v>4</v>
      </c>
      <c r="I137" s="11">
        <v>43775</v>
      </c>
      <c r="J137">
        <f>_xlfn.XLOOKUP(Table2[[#This Row],[Nest_box_ID]],Sheet1!A:A,Sheet1!L:L, "No Match")</f>
        <v>0</v>
      </c>
      <c r="K137" s="11">
        <v>43790</v>
      </c>
      <c r="L137">
        <f>_xlfn.XLOOKUP(Table2[[#This Row],[Nest_box_ID]],Sheet1!A:A,Sheet1!K:K, "No Match")</f>
        <v>15</v>
      </c>
      <c r="M137" s="11">
        <v>43788</v>
      </c>
      <c r="N137" s="16">
        <v>0.51284722222222223</v>
      </c>
      <c r="O137">
        <v>13</v>
      </c>
      <c r="P137">
        <v>60</v>
      </c>
      <c r="Q137" t="s">
        <v>320</v>
      </c>
      <c r="R137">
        <v>880</v>
      </c>
      <c r="S137">
        <f>_xlfn.XLOOKUP(Table2[[#This Row],[Obs_date]],'19-20_niwa_temp_data'!B:B,'19-20_niwa_temp_data'!G:G, "N/A")</f>
        <v>14.974979131871937</v>
      </c>
      <c r="T137">
        <f>_xlfn.XLOOKUP(Table2[[#This Row],[First_egg_lay_date]],'19-20_niwa_temp_data'!B:B,'19-20_niwa_temp_data'!G:G, "No Match")</f>
        <v>14.419431334140747</v>
      </c>
    </row>
    <row r="138" spans="1:20" x14ac:dyDescent="0.35">
      <c r="A138" t="s">
        <v>9</v>
      </c>
      <c r="B138" t="s">
        <v>20</v>
      </c>
      <c r="C138" s="3" t="s">
        <v>109</v>
      </c>
      <c r="D138" t="str">
        <f>_xlfn.XLOOKUP(Table2[[#This Row],[Female_ID ]],'19-20_female_cohort'!I:I,'19-20_female_cohort'!H:H, "No Match")</f>
        <v>2014/2015</v>
      </c>
      <c r="E138">
        <v>5</v>
      </c>
      <c r="F138" s="11">
        <v>43772</v>
      </c>
      <c r="G138">
        <f>_xlfn.XLOOKUP(Table2[[#This Row],[First_egg_lay_date]],'19-20_niwa_temp_data'!B:B,'19-20_niwa_temp_data'!G:G, "No Match")</f>
        <v>14.419431334140747</v>
      </c>
      <c r="H138">
        <v>4</v>
      </c>
      <c r="I138" s="11">
        <v>43775</v>
      </c>
      <c r="J138">
        <f>_xlfn.XLOOKUP(Table2[[#This Row],[Nest_box_ID]],Sheet1!A:A,Sheet1!L:L, "No Match")</f>
        <v>0</v>
      </c>
      <c r="K138" s="11">
        <v>43790</v>
      </c>
      <c r="L138">
        <f>_xlfn.XLOOKUP(Table2[[#This Row],[Nest_box_ID]],Sheet1!A:A,Sheet1!K:K, "No Match")</f>
        <v>15</v>
      </c>
      <c r="M138" s="11">
        <v>43788</v>
      </c>
      <c r="N138" s="16">
        <v>0.52303240740740742</v>
      </c>
      <c r="O138">
        <v>13</v>
      </c>
      <c r="P138">
        <v>60</v>
      </c>
      <c r="Q138" t="s">
        <v>319</v>
      </c>
      <c r="R138">
        <v>40</v>
      </c>
      <c r="S138">
        <f>_xlfn.XLOOKUP(Table2[[#This Row],[Obs_date]],'19-20_niwa_temp_data'!B:B,'19-20_niwa_temp_data'!G:G, "N/A")</f>
        <v>14.974979131871937</v>
      </c>
      <c r="T138">
        <f>_xlfn.XLOOKUP(Table2[[#This Row],[First_egg_lay_date]],'19-20_niwa_temp_data'!B:B,'19-20_niwa_temp_data'!G:G, "No Match")</f>
        <v>14.419431334140747</v>
      </c>
    </row>
    <row r="139" spans="1:20" hidden="1" x14ac:dyDescent="0.35">
      <c r="A139" t="s">
        <v>9</v>
      </c>
      <c r="B139" t="s">
        <v>20</v>
      </c>
      <c r="C139" s="3" t="s">
        <v>109</v>
      </c>
      <c r="D139" t="str">
        <f>_xlfn.XLOOKUP(Table2[[#This Row],[Female_ID ]],'19-20_female_cohort'!I:I,'19-20_female_cohort'!H:H, "No Match")</f>
        <v>2014/2015</v>
      </c>
      <c r="E139">
        <v>5</v>
      </c>
      <c r="F139" s="11">
        <v>43772</v>
      </c>
      <c r="G139">
        <f>_xlfn.XLOOKUP(Table2[[#This Row],[First_egg_lay_date]],'19-20_niwa_temp_data'!B:B,'19-20_niwa_temp_data'!G:G, "No Match")</f>
        <v>14.419431334140747</v>
      </c>
      <c r="H139">
        <v>4</v>
      </c>
      <c r="I139" s="11">
        <v>43775</v>
      </c>
      <c r="J139">
        <f>_xlfn.XLOOKUP(Table2[[#This Row],[Nest_box_ID]],Sheet1!A:A,Sheet1!L:L, "No Match")</f>
        <v>0</v>
      </c>
      <c r="K139" s="11">
        <v>43790</v>
      </c>
      <c r="L139">
        <f>_xlfn.XLOOKUP(Table2[[#This Row],[Nest_box_ID]],Sheet1!A:A,Sheet1!K:K, "No Match")</f>
        <v>15</v>
      </c>
      <c r="M139" s="11">
        <v>43788</v>
      </c>
      <c r="N139" s="16">
        <v>0.52349537037037042</v>
      </c>
      <c r="O139">
        <v>13</v>
      </c>
      <c r="P139">
        <v>60</v>
      </c>
      <c r="Q139" t="s">
        <v>320</v>
      </c>
      <c r="R139" t="s">
        <v>254</v>
      </c>
      <c r="S139">
        <f>_xlfn.XLOOKUP(Table2[[#This Row],[Obs_date]],'19-20_niwa_temp_data'!B:B,'19-20_niwa_temp_data'!G:G, "N/A")</f>
        <v>14.974979131871937</v>
      </c>
      <c r="T139">
        <f>_xlfn.XLOOKUP(Table2[[#This Row],[First_egg_lay_date]],'19-20_niwa_temp_data'!B:B,'19-20_niwa_temp_data'!G:G, "No Match")</f>
        <v>14.419431334140747</v>
      </c>
    </row>
    <row r="140" spans="1:20" x14ac:dyDescent="0.35">
      <c r="A140" t="s">
        <v>9</v>
      </c>
      <c r="B140" t="s">
        <v>58</v>
      </c>
      <c r="C140" s="3" t="s">
        <v>147</v>
      </c>
      <c r="D140" t="str">
        <f>_xlfn.XLOOKUP(Table2[[#This Row],[Female_ID ]],'19-20_female_cohort'!I:I,'19-20_female_cohort'!H:H, "No Match")</f>
        <v>2018/2019</v>
      </c>
      <c r="E140">
        <v>1</v>
      </c>
      <c r="F140" s="11">
        <v>43792</v>
      </c>
      <c r="G140">
        <f>_xlfn.XLOOKUP(Table2[[#This Row],[First_egg_lay_date]],'19-20_niwa_temp_data'!B:B,'19-20_niwa_temp_data'!G:G, "No Match")</f>
        <v>15.553777676178864</v>
      </c>
      <c r="H140">
        <v>3</v>
      </c>
      <c r="I140" s="11">
        <v>43794</v>
      </c>
      <c r="J140">
        <f>_xlfn.XLOOKUP(Table2[[#This Row],[Nest_box_ID]],Sheet1!A:A,Sheet1!L:L, "No Match")</f>
        <v>0</v>
      </c>
      <c r="K140" s="11">
        <v>43809</v>
      </c>
      <c r="L140">
        <f>_xlfn.XLOOKUP(Table2[[#This Row],[Nest_box_ID]],Sheet1!A:A,Sheet1!K:K, "No Match")</f>
        <v>15</v>
      </c>
      <c r="M140" s="11">
        <v>43796</v>
      </c>
      <c r="N140" s="16">
        <v>0.64976851851851847</v>
      </c>
      <c r="O140">
        <v>1</v>
      </c>
      <c r="P140">
        <v>62</v>
      </c>
      <c r="Q140" t="s">
        <v>319</v>
      </c>
      <c r="R140">
        <v>349</v>
      </c>
      <c r="S140">
        <f>_xlfn.XLOOKUP(Table2[[#This Row],[Obs_date]],'19-20_niwa_temp_data'!B:B,'19-20_niwa_temp_data'!G:G, "N/A")</f>
        <v>17.287857010051884</v>
      </c>
      <c r="T140">
        <f>_xlfn.XLOOKUP(Table2[[#This Row],[First_egg_lay_date]],'19-20_niwa_temp_data'!B:B,'19-20_niwa_temp_data'!G:G, "No Match")</f>
        <v>15.553777676178864</v>
      </c>
    </row>
    <row r="141" spans="1:20" hidden="1" x14ac:dyDescent="0.35">
      <c r="A141" t="s">
        <v>9</v>
      </c>
      <c r="B141" t="s">
        <v>58</v>
      </c>
      <c r="C141" s="3" t="s">
        <v>147</v>
      </c>
      <c r="D141" t="str">
        <f>_xlfn.XLOOKUP(Table2[[#This Row],[Female_ID ]],'19-20_female_cohort'!I:I,'19-20_female_cohort'!H:H, "No Match")</f>
        <v>2018/2019</v>
      </c>
      <c r="E141">
        <v>1</v>
      </c>
      <c r="F141" s="11">
        <v>43792</v>
      </c>
      <c r="G141">
        <f>_xlfn.XLOOKUP(Table2[[#This Row],[First_egg_lay_date]],'19-20_niwa_temp_data'!B:B,'19-20_niwa_temp_data'!G:G, "No Match")</f>
        <v>15.553777676178864</v>
      </c>
      <c r="H141">
        <v>3</v>
      </c>
      <c r="I141" s="11">
        <v>43794</v>
      </c>
      <c r="J141">
        <f>_xlfn.XLOOKUP(Table2[[#This Row],[Nest_box_ID]],Sheet1!A:A,Sheet1!L:L, "No Match")</f>
        <v>0</v>
      </c>
      <c r="K141" s="11">
        <v>43809</v>
      </c>
      <c r="L141">
        <f>_xlfn.XLOOKUP(Table2[[#This Row],[Nest_box_ID]],Sheet1!A:A,Sheet1!K:K, "No Match")</f>
        <v>15</v>
      </c>
      <c r="M141" s="11">
        <v>43796</v>
      </c>
      <c r="N141" s="16">
        <v>0.65380787037037036</v>
      </c>
      <c r="O141">
        <v>1</v>
      </c>
      <c r="P141">
        <v>62</v>
      </c>
      <c r="Q141" t="s">
        <v>320</v>
      </c>
      <c r="R141">
        <v>273</v>
      </c>
      <c r="S141">
        <f>_xlfn.XLOOKUP(Table2[[#This Row],[Obs_date]],'19-20_niwa_temp_data'!B:B,'19-20_niwa_temp_data'!G:G, "N/A")</f>
        <v>17.287857010051884</v>
      </c>
      <c r="T141">
        <f>_xlfn.XLOOKUP(Table2[[#This Row],[First_egg_lay_date]],'19-20_niwa_temp_data'!B:B,'19-20_niwa_temp_data'!G:G, "No Match")</f>
        <v>15.553777676178864</v>
      </c>
    </row>
    <row r="142" spans="1:20" hidden="1" x14ac:dyDescent="0.35">
      <c r="A142" t="s">
        <v>9</v>
      </c>
      <c r="B142" t="s">
        <v>58</v>
      </c>
      <c r="C142" s="3" t="s">
        <v>147</v>
      </c>
      <c r="D142" t="str">
        <f>_xlfn.XLOOKUP(Table2[[#This Row],[Female_ID ]],'19-20_female_cohort'!I:I,'19-20_female_cohort'!H:H, "No Match")</f>
        <v>2018/2019</v>
      </c>
      <c r="E142">
        <v>1</v>
      </c>
      <c r="F142" s="11">
        <v>43792</v>
      </c>
      <c r="G142">
        <f>_xlfn.XLOOKUP(Table2[[#This Row],[First_egg_lay_date]],'19-20_niwa_temp_data'!B:B,'19-20_niwa_temp_data'!G:G, "No Match")</f>
        <v>15.553777676178864</v>
      </c>
      <c r="H142">
        <v>3</v>
      </c>
      <c r="I142" s="11">
        <v>43794</v>
      </c>
      <c r="J142">
        <f>_xlfn.XLOOKUP(Table2[[#This Row],[Nest_box_ID]],Sheet1!A:A,Sheet1!L:L, "No Match")</f>
        <v>0</v>
      </c>
      <c r="K142" s="11">
        <v>43809</v>
      </c>
      <c r="L142">
        <f>_xlfn.XLOOKUP(Table2[[#This Row],[Nest_box_ID]],Sheet1!A:A,Sheet1!K:K, "No Match")</f>
        <v>15</v>
      </c>
      <c r="M142" s="11">
        <v>43796</v>
      </c>
      <c r="N142" s="16">
        <v>0.65696759259259263</v>
      </c>
      <c r="O142">
        <v>1</v>
      </c>
      <c r="P142">
        <v>62</v>
      </c>
      <c r="Q142" t="s">
        <v>319</v>
      </c>
      <c r="R142" t="s">
        <v>254</v>
      </c>
      <c r="S142">
        <f>_xlfn.XLOOKUP(Table2[[#This Row],[Obs_date]],'19-20_niwa_temp_data'!B:B,'19-20_niwa_temp_data'!G:G, "N/A")</f>
        <v>17.287857010051884</v>
      </c>
      <c r="T142">
        <f>_xlfn.XLOOKUP(Table2[[#This Row],[First_egg_lay_date]],'19-20_niwa_temp_data'!B:B,'19-20_niwa_temp_data'!G:G, "No Match")</f>
        <v>15.553777676178864</v>
      </c>
    </row>
    <row r="143" spans="1:20" x14ac:dyDescent="0.35">
      <c r="A143" t="s">
        <v>9</v>
      </c>
      <c r="B143" t="s">
        <v>58</v>
      </c>
      <c r="C143" s="3" t="s">
        <v>147</v>
      </c>
      <c r="D143" t="str">
        <f>_xlfn.XLOOKUP(Table2[[#This Row],[Female_ID ]],'19-20_female_cohort'!I:I,'19-20_female_cohort'!H:H, "No Match")</f>
        <v>2018/2019</v>
      </c>
      <c r="E143">
        <v>1</v>
      </c>
      <c r="F143" s="11">
        <v>43792</v>
      </c>
      <c r="G143">
        <f>_xlfn.XLOOKUP(Table2[[#This Row],[First_egg_lay_date]],'19-20_niwa_temp_data'!B:B,'19-20_niwa_temp_data'!G:G, "No Match")</f>
        <v>15.553777676178864</v>
      </c>
      <c r="H143">
        <v>3</v>
      </c>
      <c r="I143" s="11">
        <v>43794</v>
      </c>
      <c r="J143">
        <f>_xlfn.XLOOKUP(Table2[[#This Row],[Nest_box_ID]],Sheet1!A:A,Sheet1!L:L, "No Match")</f>
        <v>0</v>
      </c>
      <c r="K143" s="11">
        <v>43809</v>
      </c>
      <c r="L143">
        <f>_xlfn.XLOOKUP(Table2[[#This Row],[Nest_box_ID]],Sheet1!A:A,Sheet1!K:K, "No Match")</f>
        <v>15</v>
      </c>
      <c r="M143" s="11">
        <v>43800</v>
      </c>
      <c r="N143" s="16">
        <v>0.6177893518518518</v>
      </c>
      <c r="O143">
        <v>7</v>
      </c>
      <c r="P143">
        <v>65</v>
      </c>
      <c r="Q143" t="s">
        <v>319</v>
      </c>
      <c r="R143">
        <v>242</v>
      </c>
      <c r="S143">
        <f>_xlfn.XLOOKUP(Table2[[#This Row],[Obs_date]],'19-20_niwa_temp_data'!B:B,'19-20_niwa_temp_data'!G:G, "N/A")</f>
        <v>18.185708674670888</v>
      </c>
      <c r="T143">
        <f>_xlfn.XLOOKUP(Table2[[#This Row],[First_egg_lay_date]],'19-20_niwa_temp_data'!B:B,'19-20_niwa_temp_data'!G:G, "No Match")</f>
        <v>15.553777676178864</v>
      </c>
    </row>
    <row r="144" spans="1:20" hidden="1" x14ac:dyDescent="0.35">
      <c r="A144" t="s">
        <v>9</v>
      </c>
      <c r="B144" t="s">
        <v>58</v>
      </c>
      <c r="C144" s="3" t="s">
        <v>147</v>
      </c>
      <c r="D144" t="str">
        <f>_xlfn.XLOOKUP(Table2[[#This Row],[Female_ID ]],'19-20_female_cohort'!I:I,'19-20_female_cohort'!H:H, "No Match")</f>
        <v>2018/2019</v>
      </c>
      <c r="E144">
        <v>1</v>
      </c>
      <c r="F144" s="11">
        <v>43792</v>
      </c>
      <c r="G144">
        <f>_xlfn.XLOOKUP(Table2[[#This Row],[First_egg_lay_date]],'19-20_niwa_temp_data'!B:B,'19-20_niwa_temp_data'!G:G, "No Match")</f>
        <v>15.553777676178864</v>
      </c>
      <c r="H144">
        <v>3</v>
      </c>
      <c r="I144" s="11">
        <v>43794</v>
      </c>
      <c r="J144">
        <f>_xlfn.XLOOKUP(Table2[[#This Row],[Nest_box_ID]],Sheet1!A:A,Sheet1!L:L, "No Match")</f>
        <v>0</v>
      </c>
      <c r="K144" s="11">
        <v>43809</v>
      </c>
      <c r="L144">
        <f>_xlfn.XLOOKUP(Table2[[#This Row],[Nest_box_ID]],Sheet1!A:A,Sheet1!K:K, "No Match")</f>
        <v>15</v>
      </c>
      <c r="M144" s="11">
        <v>43800</v>
      </c>
      <c r="N144" s="16">
        <v>0.62059027777777775</v>
      </c>
      <c r="O144">
        <v>7</v>
      </c>
      <c r="P144">
        <v>65</v>
      </c>
      <c r="Q144" t="s">
        <v>320</v>
      </c>
      <c r="R144">
        <v>2299</v>
      </c>
      <c r="S144">
        <f>_xlfn.XLOOKUP(Table2[[#This Row],[Obs_date]],'19-20_niwa_temp_data'!B:B,'19-20_niwa_temp_data'!G:G, "N/A")</f>
        <v>18.185708674670888</v>
      </c>
      <c r="T144">
        <f>_xlfn.XLOOKUP(Table2[[#This Row],[First_egg_lay_date]],'19-20_niwa_temp_data'!B:B,'19-20_niwa_temp_data'!G:G, "No Match")</f>
        <v>15.553777676178864</v>
      </c>
    </row>
    <row r="145" spans="1:20" x14ac:dyDescent="0.35">
      <c r="A145" t="s">
        <v>9</v>
      </c>
      <c r="B145" t="s">
        <v>58</v>
      </c>
      <c r="C145" s="3" t="s">
        <v>147</v>
      </c>
      <c r="D145" t="str">
        <f>_xlfn.XLOOKUP(Table2[[#This Row],[Female_ID ]],'19-20_female_cohort'!I:I,'19-20_female_cohort'!H:H, "No Match")</f>
        <v>2018/2019</v>
      </c>
      <c r="E145">
        <v>1</v>
      </c>
      <c r="F145" s="11">
        <v>43792</v>
      </c>
      <c r="G145">
        <f>_xlfn.XLOOKUP(Table2[[#This Row],[First_egg_lay_date]],'19-20_niwa_temp_data'!B:B,'19-20_niwa_temp_data'!G:G, "No Match")</f>
        <v>15.553777676178864</v>
      </c>
      <c r="H145">
        <v>3</v>
      </c>
      <c r="I145" s="11">
        <v>43794</v>
      </c>
      <c r="J145">
        <f>_xlfn.XLOOKUP(Table2[[#This Row],[Nest_box_ID]],Sheet1!A:A,Sheet1!L:L, "No Match")</f>
        <v>0</v>
      </c>
      <c r="K145" s="11">
        <v>43809</v>
      </c>
      <c r="L145">
        <f>_xlfn.XLOOKUP(Table2[[#This Row],[Nest_box_ID]],Sheet1!A:A,Sheet1!K:K, "No Match")</f>
        <v>15</v>
      </c>
      <c r="M145" s="11">
        <v>43800</v>
      </c>
      <c r="N145" s="16">
        <v>0.64719907407407407</v>
      </c>
      <c r="O145">
        <v>7</v>
      </c>
      <c r="P145">
        <v>65</v>
      </c>
      <c r="Q145" t="s">
        <v>319</v>
      </c>
      <c r="R145">
        <v>430</v>
      </c>
      <c r="S145">
        <f>_xlfn.XLOOKUP(Table2[[#This Row],[Obs_date]],'19-20_niwa_temp_data'!B:B,'19-20_niwa_temp_data'!G:G, "N/A")</f>
        <v>18.185708674670888</v>
      </c>
      <c r="T145">
        <f>_xlfn.XLOOKUP(Table2[[#This Row],[First_egg_lay_date]],'19-20_niwa_temp_data'!B:B,'19-20_niwa_temp_data'!G:G, "No Match")</f>
        <v>15.553777676178864</v>
      </c>
    </row>
    <row r="146" spans="1:20" hidden="1" x14ac:dyDescent="0.35">
      <c r="A146" t="s">
        <v>9</v>
      </c>
      <c r="B146" t="s">
        <v>58</v>
      </c>
      <c r="C146" s="3" t="s">
        <v>147</v>
      </c>
      <c r="D146" t="str">
        <f>_xlfn.XLOOKUP(Table2[[#This Row],[Female_ID ]],'19-20_female_cohort'!I:I,'19-20_female_cohort'!H:H, "No Match")</f>
        <v>2018/2019</v>
      </c>
      <c r="E146">
        <v>1</v>
      </c>
      <c r="F146" s="11">
        <v>43792</v>
      </c>
      <c r="G146">
        <f>_xlfn.XLOOKUP(Table2[[#This Row],[First_egg_lay_date]],'19-20_niwa_temp_data'!B:B,'19-20_niwa_temp_data'!G:G, "No Match")</f>
        <v>15.553777676178864</v>
      </c>
      <c r="H146">
        <v>3</v>
      </c>
      <c r="I146" s="11">
        <v>43794</v>
      </c>
      <c r="J146">
        <f>_xlfn.XLOOKUP(Table2[[#This Row],[Nest_box_ID]],Sheet1!A:A,Sheet1!L:L, "No Match")</f>
        <v>0</v>
      </c>
      <c r="K146" s="11">
        <v>43809</v>
      </c>
      <c r="L146">
        <f>_xlfn.XLOOKUP(Table2[[#This Row],[Nest_box_ID]],Sheet1!A:A,Sheet1!K:K, "No Match")</f>
        <v>15</v>
      </c>
      <c r="M146" s="11">
        <v>43800</v>
      </c>
      <c r="N146" s="16">
        <v>0.65217592592592588</v>
      </c>
      <c r="O146">
        <v>7</v>
      </c>
      <c r="P146">
        <v>65</v>
      </c>
      <c r="Q146" t="s">
        <v>320</v>
      </c>
      <c r="R146" t="s">
        <v>254</v>
      </c>
      <c r="S146">
        <f>_xlfn.XLOOKUP(Table2[[#This Row],[Obs_date]],'19-20_niwa_temp_data'!B:B,'19-20_niwa_temp_data'!G:G, "N/A")</f>
        <v>18.185708674670888</v>
      </c>
      <c r="T146">
        <f>_xlfn.XLOOKUP(Table2[[#This Row],[First_egg_lay_date]],'19-20_niwa_temp_data'!B:B,'19-20_niwa_temp_data'!G:G, "No Match")</f>
        <v>15.553777676178864</v>
      </c>
    </row>
    <row r="147" spans="1:20" x14ac:dyDescent="0.35">
      <c r="A147" t="s">
        <v>9</v>
      </c>
      <c r="B147" t="s">
        <v>58</v>
      </c>
      <c r="C147" s="3" t="s">
        <v>147</v>
      </c>
      <c r="D147" t="str">
        <f>_xlfn.XLOOKUP(Table2[[#This Row],[Female_ID ]],'19-20_female_cohort'!I:I,'19-20_female_cohort'!H:H, "No Match")</f>
        <v>2018/2019</v>
      </c>
      <c r="E147">
        <v>1</v>
      </c>
      <c r="F147" s="11">
        <v>43792</v>
      </c>
      <c r="G147">
        <f>_xlfn.XLOOKUP(Table2[[#This Row],[First_egg_lay_date]],'19-20_niwa_temp_data'!B:B,'19-20_niwa_temp_data'!G:G, "No Match")</f>
        <v>15.553777676178864</v>
      </c>
      <c r="H147">
        <v>3</v>
      </c>
      <c r="I147" s="11">
        <v>43794</v>
      </c>
      <c r="J147">
        <f>_xlfn.XLOOKUP(Table2[[#This Row],[Nest_box_ID]],Sheet1!A:A,Sheet1!L:L, "No Match")</f>
        <v>0</v>
      </c>
      <c r="K147" s="11">
        <v>43809</v>
      </c>
      <c r="L147">
        <f>_xlfn.XLOOKUP(Table2[[#This Row],[Nest_box_ID]],Sheet1!A:A,Sheet1!K:K, "No Match")</f>
        <v>15</v>
      </c>
      <c r="M147" s="11">
        <v>43806</v>
      </c>
      <c r="N147" s="16">
        <v>0.47092592592592591</v>
      </c>
      <c r="O147">
        <v>13</v>
      </c>
      <c r="P147">
        <v>60</v>
      </c>
      <c r="Q147" t="s">
        <v>319</v>
      </c>
      <c r="R147">
        <v>489</v>
      </c>
      <c r="S147">
        <f>_xlfn.XLOOKUP(Table2[[#This Row],[Obs_date]],'19-20_niwa_temp_data'!B:B,'19-20_niwa_temp_data'!G:G, "N/A")</f>
        <v>18.187358246870268</v>
      </c>
      <c r="T147">
        <f>_xlfn.XLOOKUP(Table2[[#This Row],[First_egg_lay_date]],'19-20_niwa_temp_data'!B:B,'19-20_niwa_temp_data'!G:G, "No Match")</f>
        <v>15.553777676178864</v>
      </c>
    </row>
    <row r="148" spans="1:20" hidden="1" x14ac:dyDescent="0.35">
      <c r="A148" t="s">
        <v>9</v>
      </c>
      <c r="B148" t="s">
        <v>58</v>
      </c>
      <c r="C148" s="3" t="s">
        <v>147</v>
      </c>
      <c r="D148" t="str">
        <f>_xlfn.XLOOKUP(Table2[[#This Row],[Female_ID ]],'19-20_female_cohort'!I:I,'19-20_female_cohort'!H:H, "No Match")</f>
        <v>2018/2019</v>
      </c>
      <c r="E148">
        <v>1</v>
      </c>
      <c r="F148" s="11">
        <v>43792</v>
      </c>
      <c r="G148">
        <f>_xlfn.XLOOKUP(Table2[[#This Row],[First_egg_lay_date]],'19-20_niwa_temp_data'!B:B,'19-20_niwa_temp_data'!G:G, "No Match")</f>
        <v>15.553777676178864</v>
      </c>
      <c r="H148">
        <v>3</v>
      </c>
      <c r="I148" s="11">
        <v>43794</v>
      </c>
      <c r="J148">
        <f>_xlfn.XLOOKUP(Table2[[#This Row],[Nest_box_ID]],Sheet1!A:A,Sheet1!L:L, "No Match")</f>
        <v>0</v>
      </c>
      <c r="K148" s="11">
        <v>43809</v>
      </c>
      <c r="L148">
        <f>_xlfn.XLOOKUP(Table2[[#This Row],[Nest_box_ID]],Sheet1!A:A,Sheet1!K:K, "No Match")</f>
        <v>15</v>
      </c>
      <c r="M148" s="11">
        <v>43806</v>
      </c>
      <c r="N148" s="16">
        <v>0.47658564814814813</v>
      </c>
      <c r="O148">
        <v>13</v>
      </c>
      <c r="P148">
        <v>60</v>
      </c>
      <c r="Q148" t="s">
        <v>320</v>
      </c>
      <c r="R148">
        <v>486</v>
      </c>
      <c r="S148">
        <f>_xlfn.XLOOKUP(Table2[[#This Row],[Obs_date]],'19-20_niwa_temp_data'!B:B,'19-20_niwa_temp_data'!G:G, "N/A")</f>
        <v>18.187358246870268</v>
      </c>
      <c r="T148">
        <f>_xlfn.XLOOKUP(Table2[[#This Row],[First_egg_lay_date]],'19-20_niwa_temp_data'!B:B,'19-20_niwa_temp_data'!G:G, "No Match")</f>
        <v>15.553777676178864</v>
      </c>
    </row>
    <row r="149" spans="1:20" x14ac:dyDescent="0.35">
      <c r="A149" t="s">
        <v>9</v>
      </c>
      <c r="B149" t="s">
        <v>58</v>
      </c>
      <c r="C149" s="3" t="s">
        <v>147</v>
      </c>
      <c r="D149" t="str">
        <f>_xlfn.XLOOKUP(Table2[[#This Row],[Female_ID ]],'19-20_female_cohort'!I:I,'19-20_female_cohort'!H:H, "No Match")</f>
        <v>2018/2019</v>
      </c>
      <c r="E149">
        <v>1</v>
      </c>
      <c r="F149" s="11">
        <v>43792</v>
      </c>
      <c r="G149">
        <f>_xlfn.XLOOKUP(Table2[[#This Row],[First_egg_lay_date]],'19-20_niwa_temp_data'!B:B,'19-20_niwa_temp_data'!G:G, "No Match")</f>
        <v>15.553777676178864</v>
      </c>
      <c r="H149">
        <v>3</v>
      </c>
      <c r="I149" s="11">
        <v>43794</v>
      </c>
      <c r="J149">
        <f>_xlfn.XLOOKUP(Table2[[#This Row],[Nest_box_ID]],Sheet1!A:A,Sheet1!L:L, "No Match")</f>
        <v>0</v>
      </c>
      <c r="K149" s="11">
        <v>43809</v>
      </c>
      <c r="L149">
        <f>_xlfn.XLOOKUP(Table2[[#This Row],[Nest_box_ID]],Sheet1!A:A,Sheet1!K:K, "No Match")</f>
        <v>15</v>
      </c>
      <c r="M149" s="11">
        <v>43806</v>
      </c>
      <c r="N149" s="16">
        <v>0.48221064814814812</v>
      </c>
      <c r="O149">
        <v>13</v>
      </c>
      <c r="P149">
        <v>60</v>
      </c>
      <c r="Q149" t="s">
        <v>319</v>
      </c>
      <c r="R149">
        <v>490</v>
      </c>
      <c r="S149">
        <f>_xlfn.XLOOKUP(Table2[[#This Row],[Obs_date]],'19-20_niwa_temp_data'!B:B,'19-20_niwa_temp_data'!G:G, "N/A")</f>
        <v>18.187358246870268</v>
      </c>
      <c r="T149">
        <f>_xlfn.XLOOKUP(Table2[[#This Row],[First_egg_lay_date]],'19-20_niwa_temp_data'!B:B,'19-20_niwa_temp_data'!G:G, "No Match")</f>
        <v>15.553777676178864</v>
      </c>
    </row>
    <row r="150" spans="1:20" hidden="1" x14ac:dyDescent="0.35">
      <c r="A150" t="s">
        <v>9</v>
      </c>
      <c r="B150" t="s">
        <v>58</v>
      </c>
      <c r="C150" s="3" t="s">
        <v>147</v>
      </c>
      <c r="D150" t="str">
        <f>_xlfn.XLOOKUP(Table2[[#This Row],[Female_ID ]],'19-20_female_cohort'!I:I,'19-20_female_cohort'!H:H, "No Match")</f>
        <v>2018/2019</v>
      </c>
      <c r="E150">
        <v>1</v>
      </c>
      <c r="F150" s="11">
        <v>43792</v>
      </c>
      <c r="G150">
        <f>_xlfn.XLOOKUP(Table2[[#This Row],[First_egg_lay_date]],'19-20_niwa_temp_data'!B:B,'19-20_niwa_temp_data'!G:G, "No Match")</f>
        <v>15.553777676178864</v>
      </c>
      <c r="H150">
        <v>3</v>
      </c>
      <c r="I150" s="11">
        <v>43794</v>
      </c>
      <c r="J150">
        <f>_xlfn.XLOOKUP(Table2[[#This Row],[Nest_box_ID]],Sheet1!A:A,Sheet1!L:L, "No Match")</f>
        <v>0</v>
      </c>
      <c r="K150" s="11">
        <v>43809</v>
      </c>
      <c r="L150">
        <f>_xlfn.XLOOKUP(Table2[[#This Row],[Nest_box_ID]],Sheet1!A:A,Sheet1!K:K, "No Match")</f>
        <v>15</v>
      </c>
      <c r="M150" s="11">
        <v>43806</v>
      </c>
      <c r="N150" s="16">
        <v>0.48788194444444444</v>
      </c>
      <c r="O150">
        <v>13</v>
      </c>
      <c r="P150">
        <v>60</v>
      </c>
      <c r="Q150" t="s">
        <v>320</v>
      </c>
      <c r="R150" t="s">
        <v>254</v>
      </c>
      <c r="S150">
        <f>_xlfn.XLOOKUP(Table2[[#This Row],[Obs_date]],'19-20_niwa_temp_data'!B:B,'19-20_niwa_temp_data'!G:G, "N/A")</f>
        <v>18.187358246870268</v>
      </c>
      <c r="T150">
        <f>_xlfn.XLOOKUP(Table2[[#This Row],[First_egg_lay_date]],'19-20_niwa_temp_data'!B:B,'19-20_niwa_temp_data'!G:G, "No Match")</f>
        <v>15.553777676178864</v>
      </c>
    </row>
    <row r="151" spans="1:20" hidden="1" x14ac:dyDescent="0.35">
      <c r="A151" t="s">
        <v>9</v>
      </c>
      <c r="B151" t="s">
        <v>15</v>
      </c>
      <c r="C151" s="3" t="s">
        <v>104</v>
      </c>
      <c r="D151" t="str">
        <f>_xlfn.XLOOKUP(Table2[[#This Row],[Female_ID ]],'19-20_female_cohort'!I:I,'19-20_female_cohort'!H:H, "No Match")</f>
        <v>2018/2019</v>
      </c>
      <c r="E151">
        <v>1</v>
      </c>
      <c r="F151" s="11">
        <v>43770</v>
      </c>
      <c r="G151">
        <f>_xlfn.XLOOKUP(Table2[[#This Row],[First_egg_lay_date]],'19-20_niwa_temp_data'!B:B,'19-20_niwa_temp_data'!G:G, "No Match")</f>
        <v>14.032106042928838</v>
      </c>
      <c r="H151">
        <v>4</v>
      </c>
      <c r="I151" s="11">
        <v>43773</v>
      </c>
      <c r="J151">
        <f>_xlfn.XLOOKUP(Table2[[#This Row],[Nest_box_ID]],Sheet1!A:A,Sheet1!L:L, "No Match")</f>
        <v>0</v>
      </c>
      <c r="K151" s="11">
        <v>43788</v>
      </c>
      <c r="L151">
        <f>_xlfn.XLOOKUP(Table2[[#This Row],[Nest_box_ID]],Sheet1!A:A,Sheet1!K:K, "No Match")</f>
        <v>15</v>
      </c>
      <c r="M151" s="11">
        <v>43774</v>
      </c>
      <c r="N151" s="16">
        <v>0.60763888888888884</v>
      </c>
      <c r="O151">
        <v>2</v>
      </c>
      <c r="P151">
        <v>66</v>
      </c>
      <c r="Q151" t="s">
        <v>320</v>
      </c>
      <c r="R151">
        <v>570</v>
      </c>
      <c r="S151">
        <f>_xlfn.XLOOKUP(Table2[[#This Row],[Obs_date]],'19-20_niwa_temp_data'!B:B,'19-20_niwa_temp_data'!G:G, "N/A")</f>
        <v>16.129166128476697</v>
      </c>
      <c r="T151">
        <f>_xlfn.XLOOKUP(Table2[[#This Row],[First_egg_lay_date]],'19-20_niwa_temp_data'!B:B,'19-20_niwa_temp_data'!G:G, "No Match")</f>
        <v>14.032106042928838</v>
      </c>
    </row>
    <row r="152" spans="1:20" x14ac:dyDescent="0.35">
      <c r="A152" t="s">
        <v>9</v>
      </c>
      <c r="B152" t="s">
        <v>15</v>
      </c>
      <c r="C152" s="3" t="s">
        <v>104</v>
      </c>
      <c r="D152" t="str">
        <f>_xlfn.XLOOKUP(Table2[[#This Row],[Female_ID ]],'19-20_female_cohort'!I:I,'19-20_female_cohort'!H:H, "No Match")</f>
        <v>2018/2019</v>
      </c>
      <c r="E152">
        <v>1</v>
      </c>
      <c r="F152" s="11">
        <v>43770</v>
      </c>
      <c r="G152">
        <f>_xlfn.XLOOKUP(Table2[[#This Row],[First_egg_lay_date]],'19-20_niwa_temp_data'!B:B,'19-20_niwa_temp_data'!G:G, "No Match")</f>
        <v>14.032106042928838</v>
      </c>
      <c r="H152">
        <v>4</v>
      </c>
      <c r="I152" s="11">
        <v>43773</v>
      </c>
      <c r="J152">
        <f>_xlfn.XLOOKUP(Table2[[#This Row],[Nest_box_ID]],Sheet1!A:A,Sheet1!L:L, "No Match")</f>
        <v>0</v>
      </c>
      <c r="K152" s="11">
        <v>43788</v>
      </c>
      <c r="L152">
        <f>_xlfn.XLOOKUP(Table2[[#This Row],[Nest_box_ID]],Sheet1!A:A,Sheet1!K:K, "No Match")</f>
        <v>15</v>
      </c>
      <c r="M152" s="11">
        <v>43774</v>
      </c>
      <c r="N152" s="16">
        <v>0.61423611111111109</v>
      </c>
      <c r="O152">
        <v>2</v>
      </c>
      <c r="P152">
        <v>66</v>
      </c>
      <c r="Q152" t="s">
        <v>319</v>
      </c>
      <c r="R152">
        <v>300</v>
      </c>
      <c r="S152">
        <f>_xlfn.XLOOKUP(Table2[[#This Row],[Obs_date]],'19-20_niwa_temp_data'!B:B,'19-20_niwa_temp_data'!G:G, "N/A")</f>
        <v>16.129166128476697</v>
      </c>
      <c r="T152">
        <f>_xlfn.XLOOKUP(Table2[[#This Row],[First_egg_lay_date]],'19-20_niwa_temp_data'!B:B,'19-20_niwa_temp_data'!G:G, "No Match")</f>
        <v>14.032106042928838</v>
      </c>
    </row>
    <row r="153" spans="1:20" hidden="1" x14ac:dyDescent="0.35">
      <c r="A153" t="s">
        <v>9</v>
      </c>
      <c r="B153" t="s">
        <v>15</v>
      </c>
      <c r="C153" s="3" t="s">
        <v>104</v>
      </c>
      <c r="D153" t="str">
        <f>_xlfn.XLOOKUP(Table2[[#This Row],[Female_ID ]],'19-20_female_cohort'!I:I,'19-20_female_cohort'!H:H, "No Match")</f>
        <v>2018/2019</v>
      </c>
      <c r="E153">
        <v>1</v>
      </c>
      <c r="F153" s="11">
        <v>43770</v>
      </c>
      <c r="G153">
        <f>_xlfn.XLOOKUP(Table2[[#This Row],[First_egg_lay_date]],'19-20_niwa_temp_data'!B:B,'19-20_niwa_temp_data'!G:G, "No Match")</f>
        <v>14.032106042928838</v>
      </c>
      <c r="H153">
        <v>4</v>
      </c>
      <c r="I153" s="11">
        <v>43773</v>
      </c>
      <c r="J153">
        <f>_xlfn.XLOOKUP(Table2[[#This Row],[Nest_box_ID]],Sheet1!A:A,Sheet1!L:L, "No Match")</f>
        <v>0</v>
      </c>
      <c r="K153" s="11">
        <v>43788</v>
      </c>
      <c r="L153">
        <f>_xlfn.XLOOKUP(Table2[[#This Row],[Nest_box_ID]],Sheet1!A:A,Sheet1!K:K, "No Match")</f>
        <v>15</v>
      </c>
      <c r="M153" s="11">
        <v>43774</v>
      </c>
      <c r="N153" s="16">
        <v>0.6177083333333333</v>
      </c>
      <c r="O153">
        <v>2</v>
      </c>
      <c r="P153">
        <v>66</v>
      </c>
      <c r="Q153" t="s">
        <v>320</v>
      </c>
      <c r="R153">
        <v>550</v>
      </c>
      <c r="S153">
        <f>_xlfn.XLOOKUP(Table2[[#This Row],[Obs_date]],'19-20_niwa_temp_data'!B:B,'19-20_niwa_temp_data'!G:G, "N/A")</f>
        <v>16.129166128476697</v>
      </c>
      <c r="T153">
        <f>_xlfn.XLOOKUP(Table2[[#This Row],[First_egg_lay_date]],'19-20_niwa_temp_data'!B:B,'19-20_niwa_temp_data'!G:G, "No Match")</f>
        <v>14.032106042928838</v>
      </c>
    </row>
    <row r="154" spans="1:20" x14ac:dyDescent="0.35">
      <c r="A154" t="s">
        <v>9</v>
      </c>
      <c r="B154" t="s">
        <v>15</v>
      </c>
      <c r="C154" s="3" t="s">
        <v>104</v>
      </c>
      <c r="D154" t="str">
        <f>_xlfn.XLOOKUP(Table2[[#This Row],[Female_ID ]],'19-20_female_cohort'!I:I,'19-20_female_cohort'!H:H, "No Match")</f>
        <v>2018/2019</v>
      </c>
      <c r="E154">
        <v>1</v>
      </c>
      <c r="F154" s="11">
        <v>43770</v>
      </c>
      <c r="G154">
        <f>_xlfn.XLOOKUP(Table2[[#This Row],[First_egg_lay_date]],'19-20_niwa_temp_data'!B:B,'19-20_niwa_temp_data'!G:G, "No Match")</f>
        <v>14.032106042928838</v>
      </c>
      <c r="H154">
        <v>4</v>
      </c>
      <c r="I154" s="11">
        <v>43773</v>
      </c>
      <c r="J154">
        <f>_xlfn.XLOOKUP(Table2[[#This Row],[Nest_box_ID]],Sheet1!A:A,Sheet1!L:L, "No Match")</f>
        <v>0</v>
      </c>
      <c r="K154" s="11">
        <v>43788</v>
      </c>
      <c r="L154">
        <f>_xlfn.XLOOKUP(Table2[[#This Row],[Nest_box_ID]],Sheet1!A:A,Sheet1!K:K, "No Match")</f>
        <v>15</v>
      </c>
      <c r="M154" s="11">
        <v>43774</v>
      </c>
      <c r="N154" s="16">
        <v>0.62407407407407411</v>
      </c>
      <c r="O154">
        <v>2</v>
      </c>
      <c r="P154">
        <v>66</v>
      </c>
      <c r="Q154" t="s">
        <v>319</v>
      </c>
      <c r="R154">
        <v>309</v>
      </c>
      <c r="S154">
        <f>_xlfn.XLOOKUP(Table2[[#This Row],[Obs_date]],'19-20_niwa_temp_data'!B:B,'19-20_niwa_temp_data'!G:G, "N/A")</f>
        <v>16.129166128476697</v>
      </c>
      <c r="T154">
        <f>_xlfn.XLOOKUP(Table2[[#This Row],[First_egg_lay_date]],'19-20_niwa_temp_data'!B:B,'19-20_niwa_temp_data'!G:G, "No Match")</f>
        <v>14.032106042928838</v>
      </c>
    </row>
    <row r="155" spans="1:20" hidden="1" x14ac:dyDescent="0.35">
      <c r="A155" t="s">
        <v>9</v>
      </c>
      <c r="B155" t="s">
        <v>15</v>
      </c>
      <c r="C155" s="3" t="s">
        <v>104</v>
      </c>
      <c r="D155" t="str">
        <f>_xlfn.XLOOKUP(Table2[[#This Row],[Female_ID ]],'19-20_female_cohort'!I:I,'19-20_female_cohort'!H:H, "No Match")</f>
        <v>2018/2019</v>
      </c>
      <c r="E155">
        <v>1</v>
      </c>
      <c r="F155" s="11">
        <v>43770</v>
      </c>
      <c r="G155">
        <f>_xlfn.XLOOKUP(Table2[[#This Row],[First_egg_lay_date]],'19-20_niwa_temp_data'!B:B,'19-20_niwa_temp_data'!G:G, "No Match")</f>
        <v>14.032106042928838</v>
      </c>
      <c r="H155">
        <v>4</v>
      </c>
      <c r="I155" s="11">
        <v>43773</v>
      </c>
      <c r="J155">
        <f>_xlfn.XLOOKUP(Table2[[#This Row],[Nest_box_ID]],Sheet1!A:A,Sheet1!L:L, "No Match")</f>
        <v>0</v>
      </c>
      <c r="K155" s="11">
        <v>43788</v>
      </c>
      <c r="L155">
        <f>_xlfn.XLOOKUP(Table2[[#This Row],[Nest_box_ID]],Sheet1!A:A,Sheet1!K:K, "No Match")</f>
        <v>15</v>
      </c>
      <c r="M155" s="11">
        <v>43774</v>
      </c>
      <c r="N155" s="16">
        <v>0.62765046296296301</v>
      </c>
      <c r="O155">
        <v>2</v>
      </c>
      <c r="P155">
        <v>66</v>
      </c>
      <c r="Q155" t="s">
        <v>320</v>
      </c>
      <c r="R155">
        <v>517</v>
      </c>
      <c r="S155">
        <f>_xlfn.XLOOKUP(Table2[[#This Row],[Obs_date]],'19-20_niwa_temp_data'!B:B,'19-20_niwa_temp_data'!G:G, "N/A")</f>
        <v>16.129166128476697</v>
      </c>
      <c r="T155">
        <f>_xlfn.XLOOKUP(Table2[[#This Row],[First_egg_lay_date]],'19-20_niwa_temp_data'!B:B,'19-20_niwa_temp_data'!G:G, "No Match")</f>
        <v>14.032106042928838</v>
      </c>
    </row>
    <row r="156" spans="1:20" x14ac:dyDescent="0.35">
      <c r="A156" t="s">
        <v>9</v>
      </c>
      <c r="B156" t="s">
        <v>15</v>
      </c>
      <c r="C156" s="3" t="s">
        <v>104</v>
      </c>
      <c r="D156" t="str">
        <f>_xlfn.XLOOKUP(Table2[[#This Row],[Female_ID ]],'19-20_female_cohort'!I:I,'19-20_female_cohort'!H:H, "No Match")</f>
        <v>2018/2019</v>
      </c>
      <c r="E156">
        <v>1</v>
      </c>
      <c r="F156" s="11">
        <v>43770</v>
      </c>
      <c r="G156">
        <f>_xlfn.XLOOKUP(Table2[[#This Row],[First_egg_lay_date]],'19-20_niwa_temp_data'!B:B,'19-20_niwa_temp_data'!G:G, "No Match")</f>
        <v>14.032106042928838</v>
      </c>
      <c r="H156">
        <v>4</v>
      </c>
      <c r="I156" s="11">
        <v>43773</v>
      </c>
      <c r="J156">
        <f>_xlfn.XLOOKUP(Table2[[#This Row],[Nest_box_ID]],Sheet1!A:A,Sheet1!L:L, "No Match")</f>
        <v>0</v>
      </c>
      <c r="K156" s="11">
        <v>43788</v>
      </c>
      <c r="L156">
        <f>_xlfn.XLOOKUP(Table2[[#This Row],[Nest_box_ID]],Sheet1!A:A,Sheet1!K:K, "No Match")</f>
        <v>15</v>
      </c>
      <c r="M156" s="11">
        <v>43774</v>
      </c>
      <c r="N156" s="16">
        <v>0.63363425925925931</v>
      </c>
      <c r="O156">
        <v>2</v>
      </c>
      <c r="P156">
        <v>66</v>
      </c>
      <c r="Q156" t="s">
        <v>319</v>
      </c>
      <c r="R156">
        <v>232</v>
      </c>
      <c r="S156">
        <f>_xlfn.XLOOKUP(Table2[[#This Row],[Obs_date]],'19-20_niwa_temp_data'!B:B,'19-20_niwa_temp_data'!G:G, "N/A")</f>
        <v>16.129166128476697</v>
      </c>
      <c r="T156">
        <f>_xlfn.XLOOKUP(Table2[[#This Row],[First_egg_lay_date]],'19-20_niwa_temp_data'!B:B,'19-20_niwa_temp_data'!G:G, "No Match")</f>
        <v>14.032106042928838</v>
      </c>
    </row>
    <row r="157" spans="1:20" hidden="1" x14ac:dyDescent="0.35">
      <c r="A157" t="s">
        <v>9</v>
      </c>
      <c r="B157" t="s">
        <v>15</v>
      </c>
      <c r="C157" s="3" t="s">
        <v>104</v>
      </c>
      <c r="D157" t="str">
        <f>_xlfn.XLOOKUP(Table2[[#This Row],[Female_ID ]],'19-20_female_cohort'!I:I,'19-20_female_cohort'!H:H, "No Match")</f>
        <v>2018/2019</v>
      </c>
      <c r="E157">
        <v>1</v>
      </c>
      <c r="F157" s="11">
        <v>43770</v>
      </c>
      <c r="G157">
        <f>_xlfn.XLOOKUP(Table2[[#This Row],[First_egg_lay_date]],'19-20_niwa_temp_data'!B:B,'19-20_niwa_temp_data'!G:G, "No Match")</f>
        <v>14.032106042928838</v>
      </c>
      <c r="H157">
        <v>4</v>
      </c>
      <c r="I157" s="11">
        <v>43773</v>
      </c>
      <c r="J157">
        <f>_xlfn.XLOOKUP(Table2[[#This Row],[Nest_box_ID]],Sheet1!A:A,Sheet1!L:L, "No Match")</f>
        <v>0</v>
      </c>
      <c r="K157" s="11">
        <v>43788</v>
      </c>
      <c r="L157">
        <f>_xlfn.XLOOKUP(Table2[[#This Row],[Nest_box_ID]],Sheet1!A:A,Sheet1!K:K, "No Match")</f>
        <v>15</v>
      </c>
      <c r="M157" s="11">
        <v>43774</v>
      </c>
      <c r="N157" s="16">
        <v>0.63631944444444444</v>
      </c>
      <c r="O157">
        <v>2</v>
      </c>
      <c r="P157">
        <v>66</v>
      </c>
      <c r="Q157" t="s">
        <v>320</v>
      </c>
      <c r="R157">
        <v>422</v>
      </c>
      <c r="S157">
        <f>_xlfn.XLOOKUP(Table2[[#This Row],[Obs_date]],'19-20_niwa_temp_data'!B:B,'19-20_niwa_temp_data'!G:G, "N/A")</f>
        <v>16.129166128476697</v>
      </c>
      <c r="T157">
        <f>_xlfn.XLOOKUP(Table2[[#This Row],[First_egg_lay_date]],'19-20_niwa_temp_data'!B:B,'19-20_niwa_temp_data'!G:G, "No Match")</f>
        <v>14.032106042928838</v>
      </c>
    </row>
    <row r="158" spans="1:20" x14ac:dyDescent="0.35">
      <c r="A158" t="s">
        <v>9</v>
      </c>
      <c r="B158" t="s">
        <v>15</v>
      </c>
      <c r="C158" s="3" t="s">
        <v>104</v>
      </c>
      <c r="D158" t="str">
        <f>_xlfn.XLOOKUP(Table2[[#This Row],[Female_ID ]],'19-20_female_cohort'!I:I,'19-20_female_cohort'!H:H, "No Match")</f>
        <v>2018/2019</v>
      </c>
      <c r="E158">
        <v>1</v>
      </c>
      <c r="F158" s="11">
        <v>43770</v>
      </c>
      <c r="G158">
        <f>_xlfn.XLOOKUP(Table2[[#This Row],[First_egg_lay_date]],'19-20_niwa_temp_data'!B:B,'19-20_niwa_temp_data'!G:G, "No Match")</f>
        <v>14.032106042928838</v>
      </c>
      <c r="H158">
        <v>4</v>
      </c>
      <c r="I158" s="11">
        <v>43773</v>
      </c>
      <c r="J158">
        <f>_xlfn.XLOOKUP(Table2[[#This Row],[Nest_box_ID]],Sheet1!A:A,Sheet1!L:L, "No Match")</f>
        <v>0</v>
      </c>
      <c r="K158" s="11">
        <v>43788</v>
      </c>
      <c r="L158">
        <f>_xlfn.XLOOKUP(Table2[[#This Row],[Nest_box_ID]],Sheet1!A:A,Sheet1!K:K, "No Match")</f>
        <v>15</v>
      </c>
      <c r="M158" s="11">
        <v>43774</v>
      </c>
      <c r="N158" s="16">
        <v>0.64120370370370372</v>
      </c>
      <c r="O158">
        <v>2</v>
      </c>
      <c r="P158">
        <v>66</v>
      </c>
      <c r="Q158" t="s">
        <v>319</v>
      </c>
      <c r="R158">
        <v>230</v>
      </c>
      <c r="S158">
        <f>_xlfn.XLOOKUP(Table2[[#This Row],[Obs_date]],'19-20_niwa_temp_data'!B:B,'19-20_niwa_temp_data'!G:G, "N/A")</f>
        <v>16.129166128476697</v>
      </c>
      <c r="T158">
        <f>_xlfn.XLOOKUP(Table2[[#This Row],[First_egg_lay_date]],'19-20_niwa_temp_data'!B:B,'19-20_niwa_temp_data'!G:G, "No Match")</f>
        <v>14.032106042928838</v>
      </c>
    </row>
    <row r="159" spans="1:20" hidden="1" x14ac:dyDescent="0.35">
      <c r="A159" t="s">
        <v>9</v>
      </c>
      <c r="B159" t="s">
        <v>15</v>
      </c>
      <c r="C159" s="3" t="s">
        <v>104</v>
      </c>
      <c r="D159" t="str">
        <f>_xlfn.XLOOKUP(Table2[[#This Row],[Female_ID ]],'19-20_female_cohort'!I:I,'19-20_female_cohort'!H:H, "No Match")</f>
        <v>2018/2019</v>
      </c>
      <c r="E159">
        <v>1</v>
      </c>
      <c r="F159" s="11">
        <v>43770</v>
      </c>
      <c r="G159">
        <f>_xlfn.XLOOKUP(Table2[[#This Row],[First_egg_lay_date]],'19-20_niwa_temp_data'!B:B,'19-20_niwa_temp_data'!G:G, "No Match")</f>
        <v>14.032106042928838</v>
      </c>
      <c r="H159">
        <v>4</v>
      </c>
      <c r="I159" s="11">
        <v>43773</v>
      </c>
      <c r="J159">
        <f>_xlfn.XLOOKUP(Table2[[#This Row],[Nest_box_ID]],Sheet1!A:A,Sheet1!L:L, "No Match")</f>
        <v>0</v>
      </c>
      <c r="K159" s="11">
        <v>43788</v>
      </c>
      <c r="L159">
        <f>_xlfn.XLOOKUP(Table2[[#This Row],[Nest_box_ID]],Sheet1!A:A,Sheet1!K:K, "No Match")</f>
        <v>15</v>
      </c>
      <c r="M159" s="11">
        <v>43774</v>
      </c>
      <c r="N159" s="16">
        <v>0.64386574074074077</v>
      </c>
      <c r="O159">
        <v>2</v>
      </c>
      <c r="P159">
        <v>66</v>
      </c>
      <c r="Q159" t="s">
        <v>320</v>
      </c>
      <c r="R159">
        <v>310</v>
      </c>
      <c r="S159">
        <f>_xlfn.XLOOKUP(Table2[[#This Row],[Obs_date]],'19-20_niwa_temp_data'!B:B,'19-20_niwa_temp_data'!G:G, "N/A")</f>
        <v>16.129166128476697</v>
      </c>
      <c r="T159">
        <f>_xlfn.XLOOKUP(Table2[[#This Row],[First_egg_lay_date]],'19-20_niwa_temp_data'!B:B,'19-20_niwa_temp_data'!G:G, "No Match")</f>
        <v>14.032106042928838</v>
      </c>
    </row>
    <row r="160" spans="1:20" x14ac:dyDescent="0.35">
      <c r="A160" t="s">
        <v>9</v>
      </c>
      <c r="B160" t="s">
        <v>15</v>
      </c>
      <c r="C160" s="3" t="s">
        <v>104</v>
      </c>
      <c r="D160" t="str">
        <f>_xlfn.XLOOKUP(Table2[[#This Row],[Female_ID ]],'19-20_female_cohort'!I:I,'19-20_female_cohort'!H:H, "No Match")</f>
        <v>2018/2019</v>
      </c>
      <c r="E160">
        <v>1</v>
      </c>
      <c r="F160" s="11">
        <v>43770</v>
      </c>
      <c r="G160">
        <f>_xlfn.XLOOKUP(Table2[[#This Row],[First_egg_lay_date]],'19-20_niwa_temp_data'!B:B,'19-20_niwa_temp_data'!G:G, "No Match")</f>
        <v>14.032106042928838</v>
      </c>
      <c r="H160">
        <v>4</v>
      </c>
      <c r="I160" s="11">
        <v>43773</v>
      </c>
      <c r="J160">
        <f>_xlfn.XLOOKUP(Table2[[#This Row],[Nest_box_ID]],Sheet1!A:A,Sheet1!L:L, "No Match")</f>
        <v>0</v>
      </c>
      <c r="K160" s="11">
        <v>43788</v>
      </c>
      <c r="L160">
        <f>_xlfn.XLOOKUP(Table2[[#This Row],[Nest_box_ID]],Sheet1!A:A,Sheet1!K:K, "No Match")</f>
        <v>15</v>
      </c>
      <c r="M160" s="11">
        <v>43774</v>
      </c>
      <c r="N160" s="16">
        <v>0.6474537037037037</v>
      </c>
      <c r="O160">
        <v>2</v>
      </c>
      <c r="P160">
        <v>66</v>
      </c>
      <c r="Q160" t="s">
        <v>319</v>
      </c>
      <c r="R160">
        <v>140</v>
      </c>
      <c r="S160">
        <f>_xlfn.XLOOKUP(Table2[[#This Row],[Obs_date]],'19-20_niwa_temp_data'!B:B,'19-20_niwa_temp_data'!G:G, "N/A")</f>
        <v>16.129166128476697</v>
      </c>
      <c r="T160">
        <f>_xlfn.XLOOKUP(Table2[[#This Row],[First_egg_lay_date]],'19-20_niwa_temp_data'!B:B,'19-20_niwa_temp_data'!G:G, "No Match")</f>
        <v>14.032106042928838</v>
      </c>
    </row>
    <row r="161" spans="1:20" hidden="1" x14ac:dyDescent="0.35">
      <c r="A161" t="s">
        <v>9</v>
      </c>
      <c r="B161" t="s">
        <v>15</v>
      </c>
      <c r="C161" s="3" t="s">
        <v>104</v>
      </c>
      <c r="D161" t="str">
        <f>_xlfn.XLOOKUP(Table2[[#This Row],[Female_ID ]],'19-20_female_cohort'!I:I,'19-20_female_cohort'!H:H, "No Match")</f>
        <v>2018/2019</v>
      </c>
      <c r="E161">
        <v>1</v>
      </c>
      <c r="F161" s="11">
        <v>43770</v>
      </c>
      <c r="G161">
        <f>_xlfn.XLOOKUP(Table2[[#This Row],[First_egg_lay_date]],'19-20_niwa_temp_data'!B:B,'19-20_niwa_temp_data'!G:G, "No Match")</f>
        <v>14.032106042928838</v>
      </c>
      <c r="H161">
        <v>4</v>
      </c>
      <c r="I161" s="11">
        <v>43773</v>
      </c>
      <c r="J161">
        <f>_xlfn.XLOOKUP(Table2[[#This Row],[Nest_box_ID]],Sheet1!A:A,Sheet1!L:L, "No Match")</f>
        <v>0</v>
      </c>
      <c r="K161" s="11">
        <v>43788</v>
      </c>
      <c r="L161">
        <f>_xlfn.XLOOKUP(Table2[[#This Row],[Nest_box_ID]],Sheet1!A:A,Sheet1!K:K, "No Match")</f>
        <v>15</v>
      </c>
      <c r="M161" s="11">
        <v>43774</v>
      </c>
      <c r="N161" s="16">
        <v>0.64907407407407403</v>
      </c>
      <c r="O161">
        <v>2</v>
      </c>
      <c r="P161">
        <v>66</v>
      </c>
      <c r="Q161" t="s">
        <v>320</v>
      </c>
      <c r="R161">
        <v>178</v>
      </c>
      <c r="S161">
        <f>_xlfn.XLOOKUP(Table2[[#This Row],[Obs_date]],'19-20_niwa_temp_data'!B:B,'19-20_niwa_temp_data'!G:G, "N/A")</f>
        <v>16.129166128476697</v>
      </c>
      <c r="T161">
        <f>_xlfn.XLOOKUP(Table2[[#This Row],[First_egg_lay_date]],'19-20_niwa_temp_data'!B:B,'19-20_niwa_temp_data'!G:G, "No Match")</f>
        <v>14.032106042928838</v>
      </c>
    </row>
    <row r="162" spans="1:20" x14ac:dyDescent="0.35">
      <c r="A162" t="s">
        <v>9</v>
      </c>
      <c r="B162" t="s">
        <v>15</v>
      </c>
      <c r="C162" s="3" t="s">
        <v>104</v>
      </c>
      <c r="D162" t="str">
        <f>_xlfn.XLOOKUP(Table2[[#This Row],[Female_ID ]],'19-20_female_cohort'!I:I,'19-20_female_cohort'!H:H, "No Match")</f>
        <v>2018/2019</v>
      </c>
      <c r="E162">
        <v>1</v>
      </c>
      <c r="F162" s="11">
        <v>43770</v>
      </c>
      <c r="G162">
        <f>_xlfn.XLOOKUP(Table2[[#This Row],[First_egg_lay_date]],'19-20_niwa_temp_data'!B:B,'19-20_niwa_temp_data'!G:G, "No Match")</f>
        <v>14.032106042928838</v>
      </c>
      <c r="H162">
        <v>4</v>
      </c>
      <c r="I162" s="11">
        <v>43773</v>
      </c>
      <c r="J162">
        <f>_xlfn.XLOOKUP(Table2[[#This Row],[Nest_box_ID]],Sheet1!A:A,Sheet1!L:L, "No Match")</f>
        <v>0</v>
      </c>
      <c r="K162" s="11">
        <v>43788</v>
      </c>
      <c r="L162">
        <f>_xlfn.XLOOKUP(Table2[[#This Row],[Nest_box_ID]],Sheet1!A:A,Sheet1!K:K, "No Match")</f>
        <v>15</v>
      </c>
      <c r="M162" s="11">
        <v>43774</v>
      </c>
      <c r="N162" s="16">
        <v>0.65113425925925927</v>
      </c>
      <c r="O162">
        <v>2</v>
      </c>
      <c r="P162">
        <v>66</v>
      </c>
      <c r="Q162" t="s">
        <v>319</v>
      </c>
      <c r="R162">
        <v>202</v>
      </c>
      <c r="S162">
        <f>_xlfn.XLOOKUP(Table2[[#This Row],[Obs_date]],'19-20_niwa_temp_data'!B:B,'19-20_niwa_temp_data'!G:G, "N/A")</f>
        <v>16.129166128476697</v>
      </c>
      <c r="T162">
        <f>_xlfn.XLOOKUP(Table2[[#This Row],[First_egg_lay_date]],'19-20_niwa_temp_data'!B:B,'19-20_niwa_temp_data'!G:G, "No Match")</f>
        <v>14.032106042928838</v>
      </c>
    </row>
    <row r="163" spans="1:20" hidden="1" x14ac:dyDescent="0.35">
      <c r="A163" t="s">
        <v>9</v>
      </c>
      <c r="B163" t="s">
        <v>15</v>
      </c>
      <c r="C163" s="3" t="s">
        <v>104</v>
      </c>
      <c r="D163" t="str">
        <f>_xlfn.XLOOKUP(Table2[[#This Row],[Female_ID ]],'19-20_female_cohort'!I:I,'19-20_female_cohort'!H:H, "No Match")</f>
        <v>2018/2019</v>
      </c>
      <c r="E163">
        <v>1</v>
      </c>
      <c r="F163" s="11">
        <v>43770</v>
      </c>
      <c r="G163">
        <f>_xlfn.XLOOKUP(Table2[[#This Row],[First_egg_lay_date]],'19-20_niwa_temp_data'!B:B,'19-20_niwa_temp_data'!G:G, "No Match")</f>
        <v>14.032106042928838</v>
      </c>
      <c r="H163">
        <v>4</v>
      </c>
      <c r="I163" s="11">
        <v>43773</v>
      </c>
      <c r="J163">
        <f>_xlfn.XLOOKUP(Table2[[#This Row],[Nest_box_ID]],Sheet1!A:A,Sheet1!L:L, "No Match")</f>
        <v>0</v>
      </c>
      <c r="K163" s="11">
        <v>43788</v>
      </c>
      <c r="L163">
        <f>_xlfn.XLOOKUP(Table2[[#This Row],[Nest_box_ID]],Sheet1!A:A,Sheet1!K:K, "No Match")</f>
        <v>15</v>
      </c>
      <c r="M163" s="11">
        <v>43774</v>
      </c>
      <c r="N163" s="16">
        <v>0.65347222222222223</v>
      </c>
      <c r="O163">
        <v>2</v>
      </c>
      <c r="P163">
        <v>66</v>
      </c>
      <c r="Q163" t="s">
        <v>320</v>
      </c>
      <c r="R163" t="s">
        <v>254</v>
      </c>
      <c r="S163">
        <f>_xlfn.XLOOKUP(Table2[[#This Row],[Obs_date]],'19-20_niwa_temp_data'!B:B,'19-20_niwa_temp_data'!G:G, "N/A")</f>
        <v>16.129166128476697</v>
      </c>
      <c r="T163">
        <f>_xlfn.XLOOKUP(Table2[[#This Row],[First_egg_lay_date]],'19-20_niwa_temp_data'!B:B,'19-20_niwa_temp_data'!G:G, "No Match")</f>
        <v>14.032106042928838</v>
      </c>
    </row>
    <row r="164" spans="1:20" x14ac:dyDescent="0.35">
      <c r="A164" t="s">
        <v>9</v>
      </c>
      <c r="B164" t="s">
        <v>15</v>
      </c>
      <c r="C164" s="3" t="s">
        <v>104</v>
      </c>
      <c r="D164" t="str">
        <f>_xlfn.XLOOKUP(Table2[[#This Row],[Female_ID ]],'19-20_female_cohort'!I:I,'19-20_female_cohort'!H:H, "No Match")</f>
        <v>2018/2019</v>
      </c>
      <c r="E164">
        <v>1</v>
      </c>
      <c r="F164" s="11">
        <v>43770</v>
      </c>
      <c r="G164">
        <f>_xlfn.XLOOKUP(Table2[[#This Row],[First_egg_lay_date]],'19-20_niwa_temp_data'!B:B,'19-20_niwa_temp_data'!G:G, "No Match")</f>
        <v>14.032106042928838</v>
      </c>
      <c r="H164">
        <v>4</v>
      </c>
      <c r="I164" s="11">
        <v>43773</v>
      </c>
      <c r="J164">
        <f>_xlfn.XLOOKUP(Table2[[#This Row],[Nest_box_ID]],Sheet1!A:A,Sheet1!L:L, "No Match")</f>
        <v>0</v>
      </c>
      <c r="K164" s="11">
        <v>43788</v>
      </c>
      <c r="L164">
        <f>_xlfn.XLOOKUP(Table2[[#This Row],[Nest_box_ID]],Sheet1!A:A,Sheet1!K:K, "No Match")</f>
        <v>15</v>
      </c>
      <c r="M164" s="11">
        <v>43786</v>
      </c>
      <c r="N164" s="16">
        <v>0.6962962962962963</v>
      </c>
      <c r="O164">
        <v>13</v>
      </c>
      <c r="P164">
        <v>58</v>
      </c>
      <c r="Q164" t="s">
        <v>319</v>
      </c>
      <c r="R164">
        <v>353</v>
      </c>
      <c r="S164">
        <f>_xlfn.XLOOKUP(Table2[[#This Row],[Obs_date]],'19-20_niwa_temp_data'!B:B,'19-20_niwa_temp_data'!G:G, "N/A")</f>
        <v>15.768322675541617</v>
      </c>
      <c r="T164">
        <f>_xlfn.XLOOKUP(Table2[[#This Row],[First_egg_lay_date]],'19-20_niwa_temp_data'!B:B,'19-20_niwa_temp_data'!G:G, "No Match")</f>
        <v>14.032106042928838</v>
      </c>
    </row>
    <row r="165" spans="1:20" hidden="1" x14ac:dyDescent="0.35">
      <c r="A165" t="s">
        <v>9</v>
      </c>
      <c r="B165" t="s">
        <v>15</v>
      </c>
      <c r="C165" s="3" t="s">
        <v>104</v>
      </c>
      <c r="D165" t="str">
        <f>_xlfn.XLOOKUP(Table2[[#This Row],[Female_ID ]],'19-20_female_cohort'!I:I,'19-20_female_cohort'!H:H, "No Match")</f>
        <v>2018/2019</v>
      </c>
      <c r="E165">
        <v>1</v>
      </c>
      <c r="F165" s="11">
        <v>43770</v>
      </c>
      <c r="G165">
        <f>_xlfn.XLOOKUP(Table2[[#This Row],[First_egg_lay_date]],'19-20_niwa_temp_data'!B:B,'19-20_niwa_temp_data'!G:G, "No Match")</f>
        <v>14.032106042928838</v>
      </c>
      <c r="H165">
        <v>4</v>
      </c>
      <c r="I165" s="11">
        <v>43773</v>
      </c>
      <c r="J165">
        <f>_xlfn.XLOOKUP(Table2[[#This Row],[Nest_box_ID]],Sheet1!A:A,Sheet1!L:L, "No Match")</f>
        <v>0</v>
      </c>
      <c r="K165" s="11">
        <v>43788</v>
      </c>
      <c r="L165">
        <f>_xlfn.XLOOKUP(Table2[[#This Row],[Nest_box_ID]],Sheet1!A:A,Sheet1!K:K, "No Match")</f>
        <v>15</v>
      </c>
      <c r="M165" s="11">
        <v>43786</v>
      </c>
      <c r="N165" s="16">
        <v>0.70038194444444446</v>
      </c>
      <c r="O165">
        <v>13</v>
      </c>
      <c r="P165">
        <v>58</v>
      </c>
      <c r="Q165" t="s">
        <v>320</v>
      </c>
      <c r="R165">
        <v>802</v>
      </c>
      <c r="S165">
        <f>_xlfn.XLOOKUP(Table2[[#This Row],[Obs_date]],'19-20_niwa_temp_data'!B:B,'19-20_niwa_temp_data'!G:G, "N/A")</f>
        <v>15.768322675541617</v>
      </c>
      <c r="T165">
        <f>_xlfn.XLOOKUP(Table2[[#This Row],[First_egg_lay_date]],'19-20_niwa_temp_data'!B:B,'19-20_niwa_temp_data'!G:G, "No Match")</f>
        <v>14.032106042928838</v>
      </c>
    </row>
    <row r="166" spans="1:20" x14ac:dyDescent="0.35">
      <c r="A166" t="s">
        <v>9</v>
      </c>
      <c r="B166" t="s">
        <v>15</v>
      </c>
      <c r="C166" s="3" t="s">
        <v>104</v>
      </c>
      <c r="D166" t="str">
        <f>_xlfn.XLOOKUP(Table2[[#This Row],[Female_ID ]],'19-20_female_cohort'!I:I,'19-20_female_cohort'!H:H, "No Match")</f>
        <v>2018/2019</v>
      </c>
      <c r="E166">
        <v>1</v>
      </c>
      <c r="F166" s="11">
        <v>43770</v>
      </c>
      <c r="G166">
        <f>_xlfn.XLOOKUP(Table2[[#This Row],[First_egg_lay_date]],'19-20_niwa_temp_data'!B:B,'19-20_niwa_temp_data'!G:G, "No Match")</f>
        <v>14.032106042928838</v>
      </c>
      <c r="H166">
        <v>4</v>
      </c>
      <c r="I166" s="11">
        <v>43773</v>
      </c>
      <c r="J166">
        <f>_xlfn.XLOOKUP(Table2[[#This Row],[Nest_box_ID]],Sheet1!A:A,Sheet1!L:L, "No Match")</f>
        <v>0</v>
      </c>
      <c r="K166" s="11">
        <v>43788</v>
      </c>
      <c r="L166">
        <f>_xlfn.XLOOKUP(Table2[[#This Row],[Nest_box_ID]],Sheet1!A:A,Sheet1!K:K, "No Match")</f>
        <v>15</v>
      </c>
      <c r="M166" s="11">
        <v>43786</v>
      </c>
      <c r="N166" s="16">
        <v>0.70966435185185184</v>
      </c>
      <c r="O166">
        <v>13</v>
      </c>
      <c r="P166">
        <v>58</v>
      </c>
      <c r="Q166" t="s">
        <v>319</v>
      </c>
      <c r="R166">
        <v>377</v>
      </c>
      <c r="S166">
        <f>_xlfn.XLOOKUP(Table2[[#This Row],[Obs_date]],'19-20_niwa_temp_data'!B:B,'19-20_niwa_temp_data'!G:G, "N/A")</f>
        <v>15.768322675541617</v>
      </c>
      <c r="T166">
        <f>_xlfn.XLOOKUP(Table2[[#This Row],[First_egg_lay_date]],'19-20_niwa_temp_data'!B:B,'19-20_niwa_temp_data'!G:G, "No Match")</f>
        <v>14.032106042928838</v>
      </c>
    </row>
    <row r="167" spans="1:20" hidden="1" x14ac:dyDescent="0.35">
      <c r="A167" t="s">
        <v>9</v>
      </c>
      <c r="B167" t="s">
        <v>15</v>
      </c>
      <c r="C167" s="3" t="s">
        <v>104</v>
      </c>
      <c r="D167" t="str">
        <f>_xlfn.XLOOKUP(Table2[[#This Row],[Female_ID ]],'19-20_female_cohort'!I:I,'19-20_female_cohort'!H:H, "No Match")</f>
        <v>2018/2019</v>
      </c>
      <c r="E167">
        <v>1</v>
      </c>
      <c r="F167" s="11">
        <v>43770</v>
      </c>
      <c r="G167">
        <f>_xlfn.XLOOKUP(Table2[[#This Row],[First_egg_lay_date]],'19-20_niwa_temp_data'!B:B,'19-20_niwa_temp_data'!G:G, "No Match")</f>
        <v>14.032106042928838</v>
      </c>
      <c r="H167">
        <v>4</v>
      </c>
      <c r="I167" s="11">
        <v>43773</v>
      </c>
      <c r="J167">
        <f>_xlfn.XLOOKUP(Table2[[#This Row],[Nest_box_ID]],Sheet1!A:A,Sheet1!L:L, "No Match")</f>
        <v>0</v>
      </c>
      <c r="K167" s="11">
        <v>43788</v>
      </c>
      <c r="L167">
        <f>_xlfn.XLOOKUP(Table2[[#This Row],[Nest_box_ID]],Sheet1!A:A,Sheet1!K:K, "No Match")</f>
        <v>15</v>
      </c>
      <c r="M167" s="11">
        <v>43786</v>
      </c>
      <c r="N167" s="16">
        <v>0.71402777777777782</v>
      </c>
      <c r="O167">
        <v>13</v>
      </c>
      <c r="P167">
        <v>58</v>
      </c>
      <c r="Q167" t="s">
        <v>320</v>
      </c>
      <c r="R167">
        <v>390</v>
      </c>
      <c r="S167">
        <f>_xlfn.XLOOKUP(Table2[[#This Row],[Obs_date]],'19-20_niwa_temp_data'!B:B,'19-20_niwa_temp_data'!G:G, "N/A")</f>
        <v>15.768322675541617</v>
      </c>
      <c r="T167">
        <f>_xlfn.XLOOKUP(Table2[[#This Row],[First_egg_lay_date]],'19-20_niwa_temp_data'!B:B,'19-20_niwa_temp_data'!G:G, "No Match")</f>
        <v>14.032106042928838</v>
      </c>
    </row>
    <row r="168" spans="1:20" x14ac:dyDescent="0.35">
      <c r="A168" t="s">
        <v>9</v>
      </c>
      <c r="B168" t="s">
        <v>15</v>
      </c>
      <c r="C168" s="3" t="s">
        <v>104</v>
      </c>
      <c r="D168" t="str">
        <f>_xlfn.XLOOKUP(Table2[[#This Row],[Female_ID ]],'19-20_female_cohort'!I:I,'19-20_female_cohort'!H:H, "No Match")</f>
        <v>2018/2019</v>
      </c>
      <c r="E168">
        <v>1</v>
      </c>
      <c r="F168" s="11">
        <v>43770</v>
      </c>
      <c r="G168">
        <f>_xlfn.XLOOKUP(Table2[[#This Row],[First_egg_lay_date]],'19-20_niwa_temp_data'!B:B,'19-20_niwa_temp_data'!G:G, "No Match")</f>
        <v>14.032106042928838</v>
      </c>
      <c r="H168">
        <v>4</v>
      </c>
      <c r="I168" s="11">
        <v>43773</v>
      </c>
      <c r="J168">
        <f>_xlfn.XLOOKUP(Table2[[#This Row],[Nest_box_ID]],Sheet1!A:A,Sheet1!L:L, "No Match")</f>
        <v>0</v>
      </c>
      <c r="K168" s="11">
        <v>43788</v>
      </c>
      <c r="L168">
        <f>_xlfn.XLOOKUP(Table2[[#This Row],[Nest_box_ID]],Sheet1!A:A,Sheet1!K:K, "No Match")</f>
        <v>15</v>
      </c>
      <c r="M168" s="11">
        <v>43786</v>
      </c>
      <c r="N168" s="16">
        <v>0.71854166666666663</v>
      </c>
      <c r="O168">
        <v>13</v>
      </c>
      <c r="P168">
        <v>58</v>
      </c>
      <c r="Q168" t="s">
        <v>319</v>
      </c>
      <c r="R168">
        <v>247</v>
      </c>
      <c r="S168">
        <f>_xlfn.XLOOKUP(Table2[[#This Row],[Obs_date]],'19-20_niwa_temp_data'!B:B,'19-20_niwa_temp_data'!G:G, "N/A")</f>
        <v>15.768322675541617</v>
      </c>
      <c r="T168">
        <f>_xlfn.XLOOKUP(Table2[[#This Row],[First_egg_lay_date]],'19-20_niwa_temp_data'!B:B,'19-20_niwa_temp_data'!G:G, "No Match")</f>
        <v>14.032106042928838</v>
      </c>
    </row>
    <row r="169" spans="1:20" hidden="1" x14ac:dyDescent="0.35">
      <c r="A169" t="s">
        <v>9</v>
      </c>
      <c r="B169" t="s">
        <v>15</v>
      </c>
      <c r="C169" s="3" t="s">
        <v>104</v>
      </c>
      <c r="D169" t="str">
        <f>_xlfn.XLOOKUP(Table2[[#This Row],[Female_ID ]],'19-20_female_cohort'!I:I,'19-20_female_cohort'!H:H, "No Match")</f>
        <v>2018/2019</v>
      </c>
      <c r="E169">
        <v>1</v>
      </c>
      <c r="F169" s="11">
        <v>43770</v>
      </c>
      <c r="G169">
        <f>_xlfn.XLOOKUP(Table2[[#This Row],[First_egg_lay_date]],'19-20_niwa_temp_data'!B:B,'19-20_niwa_temp_data'!G:G, "No Match")</f>
        <v>14.032106042928838</v>
      </c>
      <c r="H169">
        <v>4</v>
      </c>
      <c r="I169" s="11">
        <v>43773</v>
      </c>
      <c r="J169">
        <f>_xlfn.XLOOKUP(Table2[[#This Row],[Nest_box_ID]],Sheet1!A:A,Sheet1!L:L, "No Match")</f>
        <v>0</v>
      </c>
      <c r="K169" s="11">
        <v>43788</v>
      </c>
      <c r="L169">
        <f>_xlfn.XLOOKUP(Table2[[#This Row],[Nest_box_ID]],Sheet1!A:A,Sheet1!K:K, "No Match")</f>
        <v>15</v>
      </c>
      <c r="M169" s="11">
        <v>43786</v>
      </c>
      <c r="N169" s="16">
        <v>0.72140046296296301</v>
      </c>
      <c r="O169">
        <v>13</v>
      </c>
      <c r="P169">
        <v>58</v>
      </c>
      <c r="Q169" t="s">
        <v>320</v>
      </c>
      <c r="R169">
        <v>363</v>
      </c>
      <c r="S169">
        <f>_xlfn.XLOOKUP(Table2[[#This Row],[Obs_date]],'19-20_niwa_temp_data'!B:B,'19-20_niwa_temp_data'!G:G, "N/A")</f>
        <v>15.768322675541617</v>
      </c>
      <c r="T169">
        <f>_xlfn.XLOOKUP(Table2[[#This Row],[First_egg_lay_date]],'19-20_niwa_temp_data'!B:B,'19-20_niwa_temp_data'!G:G, "No Match")</f>
        <v>14.032106042928838</v>
      </c>
    </row>
    <row r="170" spans="1:20" x14ac:dyDescent="0.35">
      <c r="A170" t="s">
        <v>9</v>
      </c>
      <c r="B170" t="s">
        <v>15</v>
      </c>
      <c r="C170" s="3" t="s">
        <v>104</v>
      </c>
      <c r="D170" t="str">
        <f>_xlfn.XLOOKUP(Table2[[#This Row],[Female_ID ]],'19-20_female_cohort'!I:I,'19-20_female_cohort'!H:H, "No Match")</f>
        <v>2018/2019</v>
      </c>
      <c r="E170">
        <v>1</v>
      </c>
      <c r="F170" s="11">
        <v>43770</v>
      </c>
      <c r="G170">
        <f>_xlfn.XLOOKUP(Table2[[#This Row],[First_egg_lay_date]],'19-20_niwa_temp_data'!B:B,'19-20_niwa_temp_data'!G:G, "No Match")</f>
        <v>14.032106042928838</v>
      </c>
      <c r="H170">
        <v>4</v>
      </c>
      <c r="I170" s="11">
        <v>43773</v>
      </c>
      <c r="J170">
        <f>_xlfn.XLOOKUP(Table2[[#This Row],[Nest_box_ID]],Sheet1!A:A,Sheet1!L:L, "No Match")</f>
        <v>0</v>
      </c>
      <c r="K170" s="11">
        <v>43788</v>
      </c>
      <c r="L170">
        <f>_xlfn.XLOOKUP(Table2[[#This Row],[Nest_box_ID]],Sheet1!A:A,Sheet1!K:K, "No Match")</f>
        <v>15</v>
      </c>
      <c r="M170" s="11">
        <v>43786</v>
      </c>
      <c r="N170" s="16">
        <v>0.72560185185185189</v>
      </c>
      <c r="O170">
        <v>13</v>
      </c>
      <c r="P170">
        <v>58</v>
      </c>
      <c r="Q170" t="s">
        <v>319</v>
      </c>
      <c r="R170">
        <v>346</v>
      </c>
      <c r="S170">
        <f>_xlfn.XLOOKUP(Table2[[#This Row],[Obs_date]],'19-20_niwa_temp_data'!B:B,'19-20_niwa_temp_data'!G:G, "N/A")</f>
        <v>15.768322675541617</v>
      </c>
      <c r="T170">
        <f>_xlfn.XLOOKUP(Table2[[#This Row],[First_egg_lay_date]],'19-20_niwa_temp_data'!B:B,'19-20_niwa_temp_data'!G:G, "No Match")</f>
        <v>14.032106042928838</v>
      </c>
    </row>
    <row r="171" spans="1:20" hidden="1" x14ac:dyDescent="0.35">
      <c r="A171" t="s">
        <v>9</v>
      </c>
      <c r="B171" t="s">
        <v>15</v>
      </c>
      <c r="C171" s="3" t="s">
        <v>104</v>
      </c>
      <c r="D171" t="str">
        <f>_xlfn.XLOOKUP(Table2[[#This Row],[Female_ID ]],'19-20_female_cohort'!I:I,'19-20_female_cohort'!H:H, "No Match")</f>
        <v>2018/2019</v>
      </c>
      <c r="E171">
        <v>1</v>
      </c>
      <c r="F171" s="11">
        <v>43770</v>
      </c>
      <c r="G171">
        <f>_xlfn.XLOOKUP(Table2[[#This Row],[First_egg_lay_date]],'19-20_niwa_temp_data'!B:B,'19-20_niwa_temp_data'!G:G, "No Match")</f>
        <v>14.032106042928838</v>
      </c>
      <c r="H171">
        <v>4</v>
      </c>
      <c r="I171" s="11">
        <v>43773</v>
      </c>
      <c r="J171">
        <f>_xlfn.XLOOKUP(Table2[[#This Row],[Nest_box_ID]],Sheet1!A:A,Sheet1!L:L, "No Match")</f>
        <v>0</v>
      </c>
      <c r="K171" s="11">
        <v>43788</v>
      </c>
      <c r="L171">
        <f>_xlfn.XLOOKUP(Table2[[#This Row],[Nest_box_ID]],Sheet1!A:A,Sheet1!K:K, "No Match")</f>
        <v>15</v>
      </c>
      <c r="M171" s="11">
        <v>43786</v>
      </c>
      <c r="N171" s="16">
        <v>0.72960648148148144</v>
      </c>
      <c r="O171">
        <v>13</v>
      </c>
      <c r="P171">
        <v>58</v>
      </c>
      <c r="Q171" t="s">
        <v>320</v>
      </c>
      <c r="R171" t="s">
        <v>254</v>
      </c>
      <c r="S171">
        <f>_xlfn.XLOOKUP(Table2[[#This Row],[Obs_date]],'19-20_niwa_temp_data'!B:B,'19-20_niwa_temp_data'!G:G, "N/A")</f>
        <v>15.768322675541617</v>
      </c>
      <c r="T171">
        <f>_xlfn.XLOOKUP(Table2[[#This Row],[First_egg_lay_date]],'19-20_niwa_temp_data'!B:B,'19-20_niwa_temp_data'!G:G, "No Match")</f>
        <v>14.032106042928838</v>
      </c>
    </row>
    <row r="172" spans="1:20" x14ac:dyDescent="0.35">
      <c r="A172" t="s">
        <v>9</v>
      </c>
      <c r="B172" t="s">
        <v>32</v>
      </c>
      <c r="C172" s="3" t="s">
        <v>121</v>
      </c>
      <c r="D172" t="str">
        <f>_xlfn.XLOOKUP(Table2[[#This Row],[Female_ID ]],'19-20_female_cohort'!I:I,'19-20_female_cohort'!H:H, "No Match")</f>
        <v>2018/2019</v>
      </c>
      <c r="E172">
        <v>1</v>
      </c>
      <c r="F172" s="11">
        <v>43777</v>
      </c>
      <c r="G172">
        <f>_xlfn.XLOOKUP(Table2[[#This Row],[First_egg_lay_date]],'19-20_niwa_temp_data'!B:B,'19-20_niwa_temp_data'!G:G, "No Match")</f>
        <v>16.736785832411194</v>
      </c>
      <c r="H172">
        <v>4</v>
      </c>
      <c r="I172" s="11">
        <v>43780</v>
      </c>
      <c r="J172">
        <f>_xlfn.XLOOKUP(Table2[[#This Row],[Nest_box_ID]],Sheet1!A:A,Sheet1!L:L, "No Match")</f>
        <v>0</v>
      </c>
      <c r="K172" s="11">
        <v>43795</v>
      </c>
      <c r="L172">
        <f>_xlfn.XLOOKUP(Table2[[#This Row],[Nest_box_ID]],Sheet1!A:A,Sheet1!K:K, "No Match")</f>
        <v>15</v>
      </c>
      <c r="M172" s="11">
        <v>43781</v>
      </c>
      <c r="N172" s="16">
        <v>0.54653935185185187</v>
      </c>
      <c r="O172">
        <v>1</v>
      </c>
      <c r="P172">
        <v>64</v>
      </c>
      <c r="Q172" t="s">
        <v>319</v>
      </c>
      <c r="R172">
        <v>209</v>
      </c>
      <c r="S172">
        <f>_xlfn.XLOOKUP(Table2[[#This Row],[Obs_date]],'19-20_niwa_temp_data'!B:B,'19-20_niwa_temp_data'!G:G, "N/A")</f>
        <v>14.342245291445828</v>
      </c>
      <c r="T172">
        <f>_xlfn.XLOOKUP(Table2[[#This Row],[First_egg_lay_date]],'19-20_niwa_temp_data'!B:B,'19-20_niwa_temp_data'!G:G, "No Match")</f>
        <v>16.736785832411194</v>
      </c>
    </row>
    <row r="173" spans="1:20" hidden="1" x14ac:dyDescent="0.35">
      <c r="A173" t="s">
        <v>9</v>
      </c>
      <c r="B173" t="s">
        <v>32</v>
      </c>
      <c r="C173" s="3" t="s">
        <v>121</v>
      </c>
      <c r="D173" t="str">
        <f>_xlfn.XLOOKUP(Table2[[#This Row],[Female_ID ]],'19-20_female_cohort'!I:I,'19-20_female_cohort'!H:H, "No Match")</f>
        <v>2018/2019</v>
      </c>
      <c r="E173">
        <v>1</v>
      </c>
      <c r="F173" s="11">
        <v>43777</v>
      </c>
      <c r="G173">
        <f>_xlfn.XLOOKUP(Table2[[#This Row],[First_egg_lay_date]],'19-20_niwa_temp_data'!B:B,'19-20_niwa_temp_data'!G:G, "No Match")</f>
        <v>16.736785832411194</v>
      </c>
      <c r="H173">
        <v>4</v>
      </c>
      <c r="I173" s="11">
        <v>43780</v>
      </c>
      <c r="J173">
        <f>_xlfn.XLOOKUP(Table2[[#This Row],[Nest_box_ID]],Sheet1!A:A,Sheet1!L:L, "No Match")</f>
        <v>0</v>
      </c>
      <c r="K173" s="11">
        <v>43795</v>
      </c>
      <c r="L173">
        <f>_xlfn.XLOOKUP(Table2[[#This Row],[Nest_box_ID]],Sheet1!A:A,Sheet1!K:K, "No Match")</f>
        <v>15</v>
      </c>
      <c r="M173" s="11">
        <v>43781</v>
      </c>
      <c r="N173" s="16">
        <v>0.54895833333333333</v>
      </c>
      <c r="O173">
        <v>1</v>
      </c>
      <c r="P173">
        <v>64</v>
      </c>
      <c r="Q173" t="s">
        <v>320</v>
      </c>
      <c r="R173">
        <v>1006</v>
      </c>
      <c r="S173">
        <f>_xlfn.XLOOKUP(Table2[[#This Row],[Obs_date]],'19-20_niwa_temp_data'!B:B,'19-20_niwa_temp_data'!G:G, "N/A")</f>
        <v>14.342245291445828</v>
      </c>
      <c r="T173">
        <f>_xlfn.XLOOKUP(Table2[[#This Row],[First_egg_lay_date]],'19-20_niwa_temp_data'!B:B,'19-20_niwa_temp_data'!G:G, "No Match")</f>
        <v>16.736785832411194</v>
      </c>
    </row>
    <row r="174" spans="1:20" x14ac:dyDescent="0.35">
      <c r="A174" t="s">
        <v>9</v>
      </c>
      <c r="B174" t="s">
        <v>32</v>
      </c>
      <c r="C174" s="3" t="s">
        <v>121</v>
      </c>
      <c r="D174" t="str">
        <f>_xlfn.XLOOKUP(Table2[[#This Row],[Female_ID ]],'19-20_female_cohort'!I:I,'19-20_female_cohort'!H:H, "No Match")</f>
        <v>2018/2019</v>
      </c>
      <c r="E174">
        <v>1</v>
      </c>
      <c r="F174" s="11">
        <v>43777</v>
      </c>
      <c r="G174">
        <f>_xlfn.XLOOKUP(Table2[[#This Row],[First_egg_lay_date]],'19-20_niwa_temp_data'!B:B,'19-20_niwa_temp_data'!G:G, "No Match")</f>
        <v>16.736785832411194</v>
      </c>
      <c r="H174">
        <v>4</v>
      </c>
      <c r="I174" s="11">
        <v>43780</v>
      </c>
      <c r="J174">
        <f>_xlfn.XLOOKUP(Table2[[#This Row],[Nest_box_ID]],Sheet1!A:A,Sheet1!L:L, "No Match")</f>
        <v>0</v>
      </c>
      <c r="K174" s="11">
        <v>43795</v>
      </c>
      <c r="L174">
        <f>_xlfn.XLOOKUP(Table2[[#This Row],[Nest_box_ID]],Sheet1!A:A,Sheet1!K:K, "No Match")</f>
        <v>15</v>
      </c>
      <c r="M174" s="11">
        <v>43781</v>
      </c>
      <c r="N174" s="16">
        <v>0.56060185185185185</v>
      </c>
      <c r="O174">
        <v>1</v>
      </c>
      <c r="P174">
        <v>64</v>
      </c>
      <c r="Q174" t="s">
        <v>319</v>
      </c>
      <c r="R174">
        <v>1122</v>
      </c>
      <c r="S174">
        <f>_xlfn.XLOOKUP(Table2[[#This Row],[Obs_date]],'19-20_niwa_temp_data'!B:B,'19-20_niwa_temp_data'!G:G, "N/A")</f>
        <v>14.342245291445828</v>
      </c>
      <c r="T174">
        <f>_xlfn.XLOOKUP(Table2[[#This Row],[First_egg_lay_date]],'19-20_niwa_temp_data'!B:B,'19-20_niwa_temp_data'!G:G, "No Match")</f>
        <v>16.736785832411194</v>
      </c>
    </row>
    <row r="175" spans="1:20" x14ac:dyDescent="0.35">
      <c r="A175" t="s">
        <v>9</v>
      </c>
      <c r="B175" t="s">
        <v>32</v>
      </c>
      <c r="C175" s="3" t="s">
        <v>121</v>
      </c>
      <c r="D175" t="str">
        <f>_xlfn.XLOOKUP(Table2[[#This Row],[Female_ID ]],'19-20_female_cohort'!I:I,'19-20_female_cohort'!H:H, "No Match")</f>
        <v>2018/2019</v>
      </c>
      <c r="E175">
        <v>1</v>
      </c>
      <c r="F175" s="11">
        <v>43777</v>
      </c>
      <c r="G175">
        <f>_xlfn.XLOOKUP(Table2[[#This Row],[First_egg_lay_date]],'19-20_niwa_temp_data'!B:B,'19-20_niwa_temp_data'!G:G, "No Match")</f>
        <v>16.736785832411194</v>
      </c>
      <c r="H175">
        <v>4</v>
      </c>
      <c r="I175" s="11">
        <v>43780</v>
      </c>
      <c r="J175">
        <f>_xlfn.XLOOKUP(Table2[[#This Row],[Nest_box_ID]],Sheet1!A:A,Sheet1!L:L, "No Match")</f>
        <v>0</v>
      </c>
      <c r="K175" s="11">
        <v>43795</v>
      </c>
      <c r="L175">
        <f>_xlfn.XLOOKUP(Table2[[#This Row],[Nest_box_ID]],Sheet1!A:A,Sheet1!K:K, "No Match")</f>
        <v>15</v>
      </c>
      <c r="M175" s="11">
        <v>43781</v>
      </c>
      <c r="N175" s="16">
        <v>0.57358796296296299</v>
      </c>
      <c r="O175">
        <v>1</v>
      </c>
      <c r="P175">
        <v>64</v>
      </c>
      <c r="Q175" t="s">
        <v>319</v>
      </c>
      <c r="R175">
        <v>63</v>
      </c>
      <c r="S175">
        <f>_xlfn.XLOOKUP(Table2[[#This Row],[Obs_date]],'19-20_niwa_temp_data'!B:B,'19-20_niwa_temp_data'!G:G, "N/A")</f>
        <v>14.342245291445828</v>
      </c>
      <c r="T175">
        <f>_xlfn.XLOOKUP(Table2[[#This Row],[First_egg_lay_date]],'19-20_niwa_temp_data'!B:B,'19-20_niwa_temp_data'!G:G, "No Match")</f>
        <v>16.736785832411194</v>
      </c>
    </row>
    <row r="176" spans="1:20" hidden="1" x14ac:dyDescent="0.35">
      <c r="A176" t="s">
        <v>9</v>
      </c>
      <c r="B176" t="s">
        <v>32</v>
      </c>
      <c r="C176" s="3" t="s">
        <v>121</v>
      </c>
      <c r="D176" t="str">
        <f>_xlfn.XLOOKUP(Table2[[#This Row],[Female_ID ]],'19-20_female_cohort'!I:I,'19-20_female_cohort'!H:H, "No Match")</f>
        <v>2018/2019</v>
      </c>
      <c r="E176">
        <v>1</v>
      </c>
      <c r="F176" s="11">
        <v>43777</v>
      </c>
      <c r="G176">
        <f>_xlfn.XLOOKUP(Table2[[#This Row],[First_egg_lay_date]],'19-20_niwa_temp_data'!B:B,'19-20_niwa_temp_data'!G:G, "No Match")</f>
        <v>16.736785832411194</v>
      </c>
      <c r="H176">
        <v>4</v>
      </c>
      <c r="I176" s="11">
        <v>43780</v>
      </c>
      <c r="J176">
        <f>_xlfn.XLOOKUP(Table2[[#This Row],[Nest_box_ID]],Sheet1!A:A,Sheet1!L:L, "No Match")</f>
        <v>0</v>
      </c>
      <c r="K176" s="11">
        <v>43795</v>
      </c>
      <c r="L176">
        <f>_xlfn.XLOOKUP(Table2[[#This Row],[Nest_box_ID]],Sheet1!A:A,Sheet1!K:K, "No Match")</f>
        <v>15</v>
      </c>
      <c r="M176" s="11">
        <v>43781</v>
      </c>
      <c r="N176" s="16">
        <v>0.57431712962962966</v>
      </c>
      <c r="O176">
        <v>1</v>
      </c>
      <c r="P176">
        <v>64</v>
      </c>
      <c r="Q176" t="s">
        <v>320</v>
      </c>
      <c r="R176">
        <v>387</v>
      </c>
      <c r="S176">
        <f>_xlfn.XLOOKUP(Table2[[#This Row],[Obs_date]],'19-20_niwa_temp_data'!B:B,'19-20_niwa_temp_data'!G:G, "N/A")</f>
        <v>14.342245291445828</v>
      </c>
      <c r="T176">
        <f>_xlfn.XLOOKUP(Table2[[#This Row],[First_egg_lay_date]],'19-20_niwa_temp_data'!B:B,'19-20_niwa_temp_data'!G:G, "No Match")</f>
        <v>16.736785832411194</v>
      </c>
    </row>
    <row r="177" spans="1:20" x14ac:dyDescent="0.35">
      <c r="A177" t="s">
        <v>9</v>
      </c>
      <c r="B177" t="s">
        <v>32</v>
      </c>
      <c r="C177" s="3" t="s">
        <v>121</v>
      </c>
      <c r="D177" t="str">
        <f>_xlfn.XLOOKUP(Table2[[#This Row],[Female_ID ]],'19-20_female_cohort'!I:I,'19-20_female_cohort'!H:H, "No Match")</f>
        <v>2018/2019</v>
      </c>
      <c r="E177">
        <v>1</v>
      </c>
      <c r="F177" s="11">
        <v>43777</v>
      </c>
      <c r="G177">
        <f>_xlfn.XLOOKUP(Table2[[#This Row],[First_egg_lay_date]],'19-20_niwa_temp_data'!B:B,'19-20_niwa_temp_data'!G:G, "No Match")</f>
        <v>16.736785832411194</v>
      </c>
      <c r="H177">
        <v>4</v>
      </c>
      <c r="I177" s="11">
        <v>43780</v>
      </c>
      <c r="J177">
        <f>_xlfn.XLOOKUP(Table2[[#This Row],[Nest_box_ID]],Sheet1!A:A,Sheet1!L:L, "No Match")</f>
        <v>0</v>
      </c>
      <c r="K177" s="11">
        <v>43795</v>
      </c>
      <c r="L177">
        <f>_xlfn.XLOOKUP(Table2[[#This Row],[Nest_box_ID]],Sheet1!A:A,Sheet1!K:K, "No Match")</f>
        <v>15</v>
      </c>
      <c r="M177" s="11">
        <v>43781</v>
      </c>
      <c r="N177" s="16">
        <v>0.57879629629629625</v>
      </c>
      <c r="O177">
        <v>1</v>
      </c>
      <c r="P177">
        <v>64</v>
      </c>
      <c r="Q177" t="s">
        <v>319</v>
      </c>
      <c r="R177">
        <v>160</v>
      </c>
      <c r="S177">
        <f>_xlfn.XLOOKUP(Table2[[#This Row],[Obs_date]],'19-20_niwa_temp_data'!B:B,'19-20_niwa_temp_data'!G:G, "N/A")</f>
        <v>14.342245291445828</v>
      </c>
      <c r="T177">
        <f>_xlfn.XLOOKUP(Table2[[#This Row],[First_egg_lay_date]],'19-20_niwa_temp_data'!B:B,'19-20_niwa_temp_data'!G:G, "No Match")</f>
        <v>16.736785832411194</v>
      </c>
    </row>
    <row r="178" spans="1:20" hidden="1" x14ac:dyDescent="0.35">
      <c r="A178" t="s">
        <v>9</v>
      </c>
      <c r="B178" t="s">
        <v>32</v>
      </c>
      <c r="C178" s="3" t="s">
        <v>121</v>
      </c>
      <c r="D178" t="str">
        <f>_xlfn.XLOOKUP(Table2[[#This Row],[Female_ID ]],'19-20_female_cohort'!I:I,'19-20_female_cohort'!H:H, "No Match")</f>
        <v>2018/2019</v>
      </c>
      <c r="E178">
        <v>1</v>
      </c>
      <c r="F178" s="11">
        <v>43777</v>
      </c>
      <c r="G178">
        <f>_xlfn.XLOOKUP(Table2[[#This Row],[First_egg_lay_date]],'19-20_niwa_temp_data'!B:B,'19-20_niwa_temp_data'!G:G, "No Match")</f>
        <v>16.736785832411194</v>
      </c>
      <c r="H178">
        <v>4</v>
      </c>
      <c r="I178" s="11">
        <v>43780</v>
      </c>
      <c r="J178">
        <f>_xlfn.XLOOKUP(Table2[[#This Row],[Nest_box_ID]],Sheet1!A:A,Sheet1!L:L, "No Match")</f>
        <v>0</v>
      </c>
      <c r="K178" s="11">
        <v>43795</v>
      </c>
      <c r="L178">
        <f>_xlfn.XLOOKUP(Table2[[#This Row],[Nest_box_ID]],Sheet1!A:A,Sheet1!K:K, "No Match")</f>
        <v>15</v>
      </c>
      <c r="M178" s="11">
        <v>43781</v>
      </c>
      <c r="N178" s="16">
        <v>0.58064814814814814</v>
      </c>
      <c r="O178">
        <v>1</v>
      </c>
      <c r="P178">
        <v>64</v>
      </c>
      <c r="Q178" t="s">
        <v>320</v>
      </c>
      <c r="R178" t="s">
        <v>254</v>
      </c>
      <c r="S178">
        <f>_xlfn.XLOOKUP(Table2[[#This Row],[Obs_date]],'19-20_niwa_temp_data'!B:B,'19-20_niwa_temp_data'!G:G, "N/A")</f>
        <v>14.342245291445828</v>
      </c>
      <c r="T178">
        <f>_xlfn.XLOOKUP(Table2[[#This Row],[First_egg_lay_date]],'19-20_niwa_temp_data'!B:B,'19-20_niwa_temp_data'!G:G, "No Match")</f>
        <v>16.736785832411194</v>
      </c>
    </row>
    <row r="179" spans="1:20" hidden="1" x14ac:dyDescent="0.35">
      <c r="A179" t="s">
        <v>9</v>
      </c>
      <c r="B179" t="s">
        <v>32</v>
      </c>
      <c r="C179" s="3" t="s">
        <v>121</v>
      </c>
      <c r="D179" t="str">
        <f>_xlfn.XLOOKUP(Table2[[#This Row],[Female_ID ]],'19-20_female_cohort'!I:I,'19-20_female_cohort'!H:H, "No Match")</f>
        <v>2018/2019</v>
      </c>
      <c r="E179">
        <v>1</v>
      </c>
      <c r="F179" s="11">
        <v>43777</v>
      </c>
      <c r="G179">
        <f>_xlfn.XLOOKUP(Table2[[#This Row],[First_egg_lay_date]],'19-20_niwa_temp_data'!B:B,'19-20_niwa_temp_data'!G:G, "No Match")</f>
        <v>16.736785832411194</v>
      </c>
      <c r="H179">
        <v>4</v>
      </c>
      <c r="I179" s="11">
        <v>43780</v>
      </c>
      <c r="J179">
        <f>_xlfn.XLOOKUP(Table2[[#This Row],[Nest_box_ID]],Sheet1!A:A,Sheet1!L:L, "No Match")</f>
        <v>0</v>
      </c>
      <c r="K179" s="11">
        <v>43795</v>
      </c>
      <c r="L179">
        <f>_xlfn.XLOOKUP(Table2[[#This Row],[Nest_box_ID]],Sheet1!A:A,Sheet1!K:K, "No Match")</f>
        <v>15</v>
      </c>
      <c r="M179" s="11">
        <v>43787</v>
      </c>
      <c r="N179" s="16">
        <v>0.55503472222222228</v>
      </c>
      <c r="O179">
        <v>7</v>
      </c>
      <c r="P179">
        <v>55</v>
      </c>
      <c r="Q179" t="s">
        <v>320</v>
      </c>
      <c r="R179">
        <v>155</v>
      </c>
      <c r="S179">
        <f>_xlfn.XLOOKUP(Table2[[#This Row],[Obs_date]],'19-20_niwa_temp_data'!B:B,'19-20_niwa_temp_data'!G:G, "N/A")</f>
        <v>16.814279645586961</v>
      </c>
      <c r="T179">
        <f>_xlfn.XLOOKUP(Table2[[#This Row],[First_egg_lay_date]],'19-20_niwa_temp_data'!B:B,'19-20_niwa_temp_data'!G:G, "No Match")</f>
        <v>16.736785832411194</v>
      </c>
    </row>
    <row r="180" spans="1:20" x14ac:dyDescent="0.35">
      <c r="A180" t="s">
        <v>9</v>
      </c>
      <c r="B180" t="s">
        <v>32</v>
      </c>
      <c r="C180" s="3" t="s">
        <v>121</v>
      </c>
      <c r="D180" t="str">
        <f>_xlfn.XLOOKUP(Table2[[#This Row],[Female_ID ]],'19-20_female_cohort'!I:I,'19-20_female_cohort'!H:H, "No Match")</f>
        <v>2018/2019</v>
      </c>
      <c r="E180">
        <v>1</v>
      </c>
      <c r="F180" s="11">
        <v>43777</v>
      </c>
      <c r="G180">
        <f>_xlfn.XLOOKUP(Table2[[#This Row],[First_egg_lay_date]],'19-20_niwa_temp_data'!B:B,'19-20_niwa_temp_data'!G:G, "No Match")</f>
        <v>16.736785832411194</v>
      </c>
      <c r="H180">
        <v>4</v>
      </c>
      <c r="I180" s="11">
        <v>43780</v>
      </c>
      <c r="J180">
        <f>_xlfn.XLOOKUP(Table2[[#This Row],[Nest_box_ID]],Sheet1!A:A,Sheet1!L:L, "No Match")</f>
        <v>0</v>
      </c>
      <c r="K180" s="11">
        <v>43795</v>
      </c>
      <c r="L180">
        <f>_xlfn.XLOOKUP(Table2[[#This Row],[Nest_box_ID]],Sheet1!A:A,Sheet1!K:K, "No Match")</f>
        <v>15</v>
      </c>
      <c r="M180" s="11">
        <v>43787</v>
      </c>
      <c r="N180" s="16">
        <v>0.55682870370370374</v>
      </c>
      <c r="O180">
        <v>7</v>
      </c>
      <c r="P180">
        <v>55</v>
      </c>
      <c r="Q180" t="s">
        <v>319</v>
      </c>
      <c r="R180">
        <v>80</v>
      </c>
      <c r="S180">
        <f>_xlfn.XLOOKUP(Table2[[#This Row],[Obs_date]],'19-20_niwa_temp_data'!B:B,'19-20_niwa_temp_data'!G:G, "N/A")</f>
        <v>16.814279645586961</v>
      </c>
      <c r="T180">
        <f>_xlfn.XLOOKUP(Table2[[#This Row],[First_egg_lay_date]],'19-20_niwa_temp_data'!B:B,'19-20_niwa_temp_data'!G:G, "No Match")</f>
        <v>16.736785832411194</v>
      </c>
    </row>
    <row r="181" spans="1:20" hidden="1" x14ac:dyDescent="0.35">
      <c r="A181" t="s">
        <v>9</v>
      </c>
      <c r="B181" t="s">
        <v>32</v>
      </c>
      <c r="C181" s="3" t="s">
        <v>121</v>
      </c>
      <c r="D181" t="str">
        <f>_xlfn.XLOOKUP(Table2[[#This Row],[Female_ID ]],'19-20_female_cohort'!I:I,'19-20_female_cohort'!H:H, "No Match")</f>
        <v>2018/2019</v>
      </c>
      <c r="E181">
        <v>1</v>
      </c>
      <c r="F181" s="11">
        <v>43777</v>
      </c>
      <c r="G181">
        <f>_xlfn.XLOOKUP(Table2[[#This Row],[First_egg_lay_date]],'19-20_niwa_temp_data'!B:B,'19-20_niwa_temp_data'!G:G, "No Match")</f>
        <v>16.736785832411194</v>
      </c>
      <c r="H181">
        <v>4</v>
      </c>
      <c r="I181" s="11">
        <v>43780</v>
      </c>
      <c r="J181">
        <f>_xlfn.XLOOKUP(Table2[[#This Row],[Nest_box_ID]],Sheet1!A:A,Sheet1!L:L, "No Match")</f>
        <v>0</v>
      </c>
      <c r="K181" s="11">
        <v>43795</v>
      </c>
      <c r="L181">
        <f>_xlfn.XLOOKUP(Table2[[#This Row],[Nest_box_ID]],Sheet1!A:A,Sheet1!K:K, "No Match")</f>
        <v>15</v>
      </c>
      <c r="M181" s="11">
        <v>43787</v>
      </c>
      <c r="N181" s="16">
        <v>0.55775462962962963</v>
      </c>
      <c r="O181">
        <v>7</v>
      </c>
      <c r="P181">
        <v>55</v>
      </c>
      <c r="Q181" t="s">
        <v>320</v>
      </c>
      <c r="R181">
        <v>2451</v>
      </c>
      <c r="S181">
        <f>_xlfn.XLOOKUP(Table2[[#This Row],[Obs_date]],'19-20_niwa_temp_data'!B:B,'19-20_niwa_temp_data'!G:G, "N/A")</f>
        <v>16.814279645586961</v>
      </c>
      <c r="T181">
        <f>_xlfn.XLOOKUP(Table2[[#This Row],[First_egg_lay_date]],'19-20_niwa_temp_data'!B:B,'19-20_niwa_temp_data'!G:G, "No Match")</f>
        <v>16.736785832411194</v>
      </c>
    </row>
    <row r="182" spans="1:20" x14ac:dyDescent="0.35">
      <c r="A182" t="s">
        <v>9</v>
      </c>
      <c r="B182" t="s">
        <v>32</v>
      </c>
      <c r="C182" s="3" t="s">
        <v>121</v>
      </c>
      <c r="D182" t="str">
        <f>_xlfn.XLOOKUP(Table2[[#This Row],[Female_ID ]],'19-20_female_cohort'!I:I,'19-20_female_cohort'!H:H, "No Match")</f>
        <v>2018/2019</v>
      </c>
      <c r="E182">
        <v>1</v>
      </c>
      <c r="F182" s="11">
        <v>43777</v>
      </c>
      <c r="G182">
        <f>_xlfn.XLOOKUP(Table2[[#This Row],[First_egg_lay_date]],'19-20_niwa_temp_data'!B:B,'19-20_niwa_temp_data'!G:G, "No Match")</f>
        <v>16.736785832411194</v>
      </c>
      <c r="H182">
        <v>4</v>
      </c>
      <c r="I182" s="11">
        <v>43780</v>
      </c>
      <c r="J182">
        <f>_xlfn.XLOOKUP(Table2[[#This Row],[Nest_box_ID]],Sheet1!A:A,Sheet1!L:L, "No Match")</f>
        <v>0</v>
      </c>
      <c r="K182" s="11">
        <v>43795</v>
      </c>
      <c r="L182">
        <f>_xlfn.XLOOKUP(Table2[[#This Row],[Nest_box_ID]],Sheet1!A:A,Sheet1!K:K, "No Match")</f>
        <v>15</v>
      </c>
      <c r="M182" s="11">
        <v>43787</v>
      </c>
      <c r="N182" s="16">
        <v>0.58612268518518518</v>
      </c>
      <c r="O182">
        <v>7</v>
      </c>
      <c r="P182">
        <v>55</v>
      </c>
      <c r="Q182" t="s">
        <v>319</v>
      </c>
      <c r="R182">
        <v>304</v>
      </c>
      <c r="S182">
        <f>_xlfn.XLOOKUP(Table2[[#This Row],[Obs_date]],'19-20_niwa_temp_data'!B:B,'19-20_niwa_temp_data'!G:G, "N/A")</f>
        <v>16.814279645586961</v>
      </c>
      <c r="T182">
        <f>_xlfn.XLOOKUP(Table2[[#This Row],[First_egg_lay_date]],'19-20_niwa_temp_data'!B:B,'19-20_niwa_temp_data'!G:G, "No Match")</f>
        <v>16.736785832411194</v>
      </c>
    </row>
    <row r="183" spans="1:20" hidden="1" x14ac:dyDescent="0.35">
      <c r="A183" t="s">
        <v>9</v>
      </c>
      <c r="B183" t="s">
        <v>32</v>
      </c>
      <c r="C183" s="3" t="s">
        <v>121</v>
      </c>
      <c r="D183" t="str">
        <f>_xlfn.XLOOKUP(Table2[[#This Row],[Female_ID ]],'19-20_female_cohort'!I:I,'19-20_female_cohort'!H:H, "No Match")</f>
        <v>2018/2019</v>
      </c>
      <c r="E183">
        <v>1</v>
      </c>
      <c r="F183" s="11">
        <v>43777</v>
      </c>
      <c r="G183">
        <f>_xlfn.XLOOKUP(Table2[[#This Row],[First_egg_lay_date]],'19-20_niwa_temp_data'!B:B,'19-20_niwa_temp_data'!G:G, "No Match")</f>
        <v>16.736785832411194</v>
      </c>
      <c r="H183">
        <v>4</v>
      </c>
      <c r="I183" s="11">
        <v>43780</v>
      </c>
      <c r="J183">
        <f>_xlfn.XLOOKUP(Table2[[#This Row],[Nest_box_ID]],Sheet1!A:A,Sheet1!L:L, "No Match")</f>
        <v>0</v>
      </c>
      <c r="K183" s="11">
        <v>43795</v>
      </c>
      <c r="L183">
        <f>_xlfn.XLOOKUP(Table2[[#This Row],[Nest_box_ID]],Sheet1!A:A,Sheet1!K:K, "No Match")</f>
        <v>15</v>
      </c>
      <c r="M183" s="11">
        <v>43787</v>
      </c>
      <c r="N183" s="16">
        <v>0.58964120370370365</v>
      </c>
      <c r="O183">
        <v>7</v>
      </c>
      <c r="P183">
        <v>55</v>
      </c>
      <c r="Q183" t="s">
        <v>320</v>
      </c>
      <c r="R183" t="s">
        <v>254</v>
      </c>
      <c r="S183">
        <f>_xlfn.XLOOKUP(Table2[[#This Row],[Obs_date]],'19-20_niwa_temp_data'!B:B,'19-20_niwa_temp_data'!G:G, "N/A")</f>
        <v>16.814279645586961</v>
      </c>
      <c r="T183">
        <f>_xlfn.XLOOKUP(Table2[[#This Row],[First_egg_lay_date]],'19-20_niwa_temp_data'!B:B,'19-20_niwa_temp_data'!G:G, "No Match")</f>
        <v>16.736785832411194</v>
      </c>
    </row>
    <row r="184" spans="1:20" x14ac:dyDescent="0.35">
      <c r="A184" t="s">
        <v>9</v>
      </c>
      <c r="B184" t="s">
        <v>32</v>
      </c>
      <c r="C184" s="3" t="s">
        <v>121</v>
      </c>
      <c r="D184" t="str">
        <f>_xlfn.XLOOKUP(Table2[[#This Row],[Female_ID ]],'19-20_female_cohort'!I:I,'19-20_female_cohort'!H:H, "No Match")</f>
        <v>2018/2019</v>
      </c>
      <c r="E184">
        <v>1</v>
      </c>
      <c r="F184" s="11">
        <v>43777</v>
      </c>
      <c r="G184">
        <f>_xlfn.XLOOKUP(Table2[[#This Row],[First_egg_lay_date]],'19-20_niwa_temp_data'!B:B,'19-20_niwa_temp_data'!G:G, "No Match")</f>
        <v>16.736785832411194</v>
      </c>
      <c r="H184">
        <v>4</v>
      </c>
      <c r="I184" s="11">
        <v>43780</v>
      </c>
      <c r="J184">
        <f>_xlfn.XLOOKUP(Table2[[#This Row],[Nest_box_ID]],Sheet1!A:A,Sheet1!L:L, "No Match")</f>
        <v>0</v>
      </c>
      <c r="K184" s="11">
        <v>43795</v>
      </c>
      <c r="L184">
        <f>_xlfn.XLOOKUP(Table2[[#This Row],[Nest_box_ID]],Sheet1!A:A,Sheet1!K:K, "No Match")</f>
        <v>15</v>
      </c>
      <c r="M184" s="11">
        <v>43793</v>
      </c>
      <c r="N184" s="16">
        <v>0.43171296296296297</v>
      </c>
      <c r="O184">
        <v>13</v>
      </c>
      <c r="P184">
        <v>59</v>
      </c>
      <c r="Q184" t="s">
        <v>319</v>
      </c>
      <c r="R184">
        <v>274</v>
      </c>
      <c r="S184">
        <f>_xlfn.XLOOKUP(Table2[[#This Row],[Obs_date]],'19-20_niwa_temp_data'!B:B,'19-20_niwa_temp_data'!G:G, "N/A")</f>
        <v>16.778557744931476</v>
      </c>
      <c r="T184">
        <f>_xlfn.XLOOKUP(Table2[[#This Row],[First_egg_lay_date]],'19-20_niwa_temp_data'!B:B,'19-20_niwa_temp_data'!G:G, "No Match")</f>
        <v>16.736785832411194</v>
      </c>
    </row>
    <row r="185" spans="1:20" hidden="1" x14ac:dyDescent="0.35">
      <c r="A185" t="s">
        <v>9</v>
      </c>
      <c r="B185" t="s">
        <v>32</v>
      </c>
      <c r="C185" s="3" t="s">
        <v>121</v>
      </c>
      <c r="D185" t="str">
        <f>_xlfn.XLOOKUP(Table2[[#This Row],[Female_ID ]],'19-20_female_cohort'!I:I,'19-20_female_cohort'!H:H, "No Match")</f>
        <v>2018/2019</v>
      </c>
      <c r="E185">
        <v>1</v>
      </c>
      <c r="F185" s="11">
        <v>43777</v>
      </c>
      <c r="G185">
        <f>_xlfn.XLOOKUP(Table2[[#This Row],[First_egg_lay_date]],'19-20_niwa_temp_data'!B:B,'19-20_niwa_temp_data'!G:G, "No Match")</f>
        <v>16.736785832411194</v>
      </c>
      <c r="H185">
        <v>4</v>
      </c>
      <c r="I185" s="11">
        <v>43780</v>
      </c>
      <c r="J185">
        <f>_xlfn.XLOOKUP(Table2[[#This Row],[Nest_box_ID]],Sheet1!A:A,Sheet1!L:L, "No Match")</f>
        <v>0</v>
      </c>
      <c r="K185" s="11">
        <v>43795</v>
      </c>
      <c r="L185">
        <f>_xlfn.XLOOKUP(Table2[[#This Row],[Nest_box_ID]],Sheet1!A:A,Sheet1!K:K, "No Match")</f>
        <v>15</v>
      </c>
      <c r="M185" s="11">
        <v>43793</v>
      </c>
      <c r="N185" s="16">
        <v>0.43488425925925928</v>
      </c>
      <c r="O185">
        <v>13</v>
      </c>
      <c r="P185">
        <v>59</v>
      </c>
      <c r="Q185" t="s">
        <v>320</v>
      </c>
      <c r="R185">
        <v>968</v>
      </c>
      <c r="S185">
        <f>_xlfn.XLOOKUP(Table2[[#This Row],[Obs_date]],'19-20_niwa_temp_data'!B:B,'19-20_niwa_temp_data'!G:G, "N/A")</f>
        <v>16.778557744931476</v>
      </c>
      <c r="T185">
        <f>_xlfn.XLOOKUP(Table2[[#This Row],[First_egg_lay_date]],'19-20_niwa_temp_data'!B:B,'19-20_niwa_temp_data'!G:G, "No Match")</f>
        <v>16.736785832411194</v>
      </c>
    </row>
    <row r="186" spans="1:20" x14ac:dyDescent="0.35">
      <c r="A186" t="s">
        <v>9</v>
      </c>
      <c r="B186" t="s">
        <v>32</v>
      </c>
      <c r="C186" s="3" t="s">
        <v>121</v>
      </c>
      <c r="D186" t="str">
        <f>_xlfn.XLOOKUP(Table2[[#This Row],[Female_ID ]],'19-20_female_cohort'!I:I,'19-20_female_cohort'!H:H, "No Match")</f>
        <v>2018/2019</v>
      </c>
      <c r="E186">
        <v>1</v>
      </c>
      <c r="F186" s="11">
        <v>43777</v>
      </c>
      <c r="G186">
        <f>_xlfn.XLOOKUP(Table2[[#This Row],[First_egg_lay_date]],'19-20_niwa_temp_data'!B:B,'19-20_niwa_temp_data'!G:G, "No Match")</f>
        <v>16.736785832411194</v>
      </c>
      <c r="H186">
        <v>4</v>
      </c>
      <c r="I186" s="11">
        <v>43780</v>
      </c>
      <c r="J186">
        <f>_xlfn.XLOOKUP(Table2[[#This Row],[Nest_box_ID]],Sheet1!A:A,Sheet1!L:L, "No Match")</f>
        <v>0</v>
      </c>
      <c r="K186" s="11">
        <v>43795</v>
      </c>
      <c r="L186">
        <f>_xlfn.XLOOKUP(Table2[[#This Row],[Nest_box_ID]],Sheet1!A:A,Sheet1!K:K, "No Match")</f>
        <v>15</v>
      </c>
      <c r="M186" s="11">
        <v>43793</v>
      </c>
      <c r="N186" s="16">
        <v>0.44608796296296294</v>
      </c>
      <c r="O186">
        <v>13</v>
      </c>
      <c r="P186">
        <v>59</v>
      </c>
      <c r="Q186" t="s">
        <v>319</v>
      </c>
      <c r="R186">
        <v>362</v>
      </c>
      <c r="S186">
        <f>_xlfn.XLOOKUP(Table2[[#This Row],[Obs_date]],'19-20_niwa_temp_data'!B:B,'19-20_niwa_temp_data'!G:G, "N/A")</f>
        <v>16.778557744931476</v>
      </c>
      <c r="T186">
        <f>_xlfn.XLOOKUP(Table2[[#This Row],[First_egg_lay_date]],'19-20_niwa_temp_data'!B:B,'19-20_niwa_temp_data'!G:G, "No Match")</f>
        <v>16.736785832411194</v>
      </c>
    </row>
    <row r="187" spans="1:20" hidden="1" x14ac:dyDescent="0.35">
      <c r="A187" t="s">
        <v>9</v>
      </c>
      <c r="B187" t="s">
        <v>32</v>
      </c>
      <c r="C187" s="3" t="s">
        <v>121</v>
      </c>
      <c r="D187" t="str">
        <f>_xlfn.XLOOKUP(Table2[[#This Row],[Female_ID ]],'19-20_female_cohort'!I:I,'19-20_female_cohort'!H:H, "No Match")</f>
        <v>2018/2019</v>
      </c>
      <c r="E187">
        <v>1</v>
      </c>
      <c r="F187" s="11">
        <v>43777</v>
      </c>
      <c r="G187">
        <f>_xlfn.XLOOKUP(Table2[[#This Row],[First_egg_lay_date]],'19-20_niwa_temp_data'!B:B,'19-20_niwa_temp_data'!G:G, "No Match")</f>
        <v>16.736785832411194</v>
      </c>
      <c r="H187">
        <v>4</v>
      </c>
      <c r="I187" s="11">
        <v>43780</v>
      </c>
      <c r="J187">
        <f>_xlfn.XLOOKUP(Table2[[#This Row],[Nest_box_ID]],Sheet1!A:A,Sheet1!L:L, "No Match")</f>
        <v>0</v>
      </c>
      <c r="K187" s="11">
        <v>43795</v>
      </c>
      <c r="L187">
        <f>_xlfn.XLOOKUP(Table2[[#This Row],[Nest_box_ID]],Sheet1!A:A,Sheet1!K:K, "No Match")</f>
        <v>15</v>
      </c>
      <c r="M187" s="11">
        <v>43793</v>
      </c>
      <c r="N187" s="16">
        <v>0.45027777777777778</v>
      </c>
      <c r="O187">
        <v>13</v>
      </c>
      <c r="P187">
        <v>59</v>
      </c>
      <c r="Q187" t="s">
        <v>320</v>
      </c>
      <c r="R187">
        <v>814</v>
      </c>
      <c r="S187">
        <f>_xlfn.XLOOKUP(Table2[[#This Row],[Obs_date]],'19-20_niwa_temp_data'!B:B,'19-20_niwa_temp_data'!G:G, "N/A")</f>
        <v>16.778557744931476</v>
      </c>
      <c r="T187">
        <f>_xlfn.XLOOKUP(Table2[[#This Row],[First_egg_lay_date]],'19-20_niwa_temp_data'!B:B,'19-20_niwa_temp_data'!G:G, "No Match")</f>
        <v>16.736785832411194</v>
      </c>
    </row>
    <row r="188" spans="1:20" x14ac:dyDescent="0.35">
      <c r="A188" t="s">
        <v>9</v>
      </c>
      <c r="B188" t="s">
        <v>32</v>
      </c>
      <c r="C188" s="3" t="s">
        <v>121</v>
      </c>
      <c r="D188" t="str">
        <f>_xlfn.XLOOKUP(Table2[[#This Row],[Female_ID ]],'19-20_female_cohort'!I:I,'19-20_female_cohort'!H:H, "No Match")</f>
        <v>2018/2019</v>
      </c>
      <c r="E188">
        <v>1</v>
      </c>
      <c r="F188" s="11">
        <v>43777</v>
      </c>
      <c r="G188">
        <f>_xlfn.XLOOKUP(Table2[[#This Row],[First_egg_lay_date]],'19-20_niwa_temp_data'!B:B,'19-20_niwa_temp_data'!G:G, "No Match")</f>
        <v>16.736785832411194</v>
      </c>
      <c r="H188">
        <v>4</v>
      </c>
      <c r="I188" s="11">
        <v>43780</v>
      </c>
      <c r="J188">
        <f>_xlfn.XLOOKUP(Table2[[#This Row],[Nest_box_ID]],Sheet1!A:A,Sheet1!L:L, "No Match")</f>
        <v>0</v>
      </c>
      <c r="K188" s="11">
        <v>43795</v>
      </c>
      <c r="L188">
        <f>_xlfn.XLOOKUP(Table2[[#This Row],[Nest_box_ID]],Sheet1!A:A,Sheet1!K:K, "No Match")</f>
        <v>15</v>
      </c>
      <c r="M188" s="11">
        <v>43793</v>
      </c>
      <c r="N188" s="16">
        <v>0.45969907407407407</v>
      </c>
      <c r="O188">
        <v>13</v>
      </c>
      <c r="P188">
        <v>59</v>
      </c>
      <c r="Q188" t="s">
        <v>319</v>
      </c>
      <c r="R188">
        <v>360</v>
      </c>
      <c r="S188">
        <f>_xlfn.XLOOKUP(Table2[[#This Row],[Obs_date]],'19-20_niwa_temp_data'!B:B,'19-20_niwa_temp_data'!G:G, "N/A")</f>
        <v>16.778557744931476</v>
      </c>
      <c r="T188">
        <f>_xlfn.XLOOKUP(Table2[[#This Row],[First_egg_lay_date]],'19-20_niwa_temp_data'!B:B,'19-20_niwa_temp_data'!G:G, "No Match")</f>
        <v>16.736785832411194</v>
      </c>
    </row>
    <row r="189" spans="1:20" hidden="1" x14ac:dyDescent="0.35">
      <c r="A189" t="s">
        <v>9</v>
      </c>
      <c r="B189" t="s">
        <v>32</v>
      </c>
      <c r="C189" s="3" t="s">
        <v>121</v>
      </c>
      <c r="D189" t="str">
        <f>_xlfn.XLOOKUP(Table2[[#This Row],[Female_ID ]],'19-20_female_cohort'!I:I,'19-20_female_cohort'!H:H, "No Match")</f>
        <v>2018/2019</v>
      </c>
      <c r="E189">
        <v>1</v>
      </c>
      <c r="F189" s="11">
        <v>43777</v>
      </c>
      <c r="G189">
        <f>_xlfn.XLOOKUP(Table2[[#This Row],[First_egg_lay_date]],'19-20_niwa_temp_data'!B:B,'19-20_niwa_temp_data'!G:G, "No Match")</f>
        <v>16.736785832411194</v>
      </c>
      <c r="H189">
        <v>4</v>
      </c>
      <c r="I189" s="11">
        <v>43780</v>
      </c>
      <c r="J189">
        <f>_xlfn.XLOOKUP(Table2[[#This Row],[Nest_box_ID]],Sheet1!A:A,Sheet1!L:L, "No Match")</f>
        <v>0</v>
      </c>
      <c r="K189" s="11">
        <v>43795</v>
      </c>
      <c r="L189">
        <f>_xlfn.XLOOKUP(Table2[[#This Row],[Nest_box_ID]],Sheet1!A:A,Sheet1!K:K, "No Match")</f>
        <v>15</v>
      </c>
      <c r="M189" s="11">
        <v>43793</v>
      </c>
      <c r="N189" s="16">
        <v>0.46386574074074072</v>
      </c>
      <c r="O189">
        <v>13</v>
      </c>
      <c r="P189">
        <v>59</v>
      </c>
      <c r="Q189" t="s">
        <v>320</v>
      </c>
      <c r="R189" t="s">
        <v>254</v>
      </c>
      <c r="S189">
        <f>_xlfn.XLOOKUP(Table2[[#This Row],[Obs_date]],'19-20_niwa_temp_data'!B:B,'19-20_niwa_temp_data'!G:G, "N/A")</f>
        <v>16.778557744931476</v>
      </c>
      <c r="T189">
        <f>_xlfn.XLOOKUP(Table2[[#This Row],[First_egg_lay_date]],'19-20_niwa_temp_data'!B:B,'19-20_niwa_temp_data'!G:G, "No Match")</f>
        <v>16.736785832411194</v>
      </c>
    </row>
    <row r="190" spans="1:20" x14ac:dyDescent="0.35">
      <c r="A190" t="s">
        <v>9</v>
      </c>
      <c r="B190" t="s">
        <v>31</v>
      </c>
      <c r="C190" s="3" t="s">
        <v>120</v>
      </c>
      <c r="D190" t="str">
        <f>_xlfn.XLOOKUP(Table2[[#This Row],[Female_ID ]],'19-20_female_cohort'!I:I,'19-20_female_cohort'!H:H, "No Match")</f>
        <v>2016/2017</v>
      </c>
      <c r="E190">
        <v>3</v>
      </c>
      <c r="F190" s="11">
        <v>43776</v>
      </c>
      <c r="G190">
        <f>_xlfn.XLOOKUP(Table2[[#This Row],[First_egg_lay_date]],'19-20_niwa_temp_data'!B:B,'19-20_niwa_temp_data'!G:G, "No Match")</f>
        <v>17.675972391922318</v>
      </c>
      <c r="H190">
        <v>3</v>
      </c>
      <c r="I190" s="11">
        <v>43779</v>
      </c>
      <c r="J190">
        <f>_xlfn.XLOOKUP(Table2[[#This Row],[Nest_box_ID]],Sheet1!A:A,Sheet1!L:L, "No Match")</f>
        <v>0</v>
      </c>
      <c r="K190" s="11">
        <v>43795</v>
      </c>
      <c r="L190">
        <f>_xlfn.XLOOKUP(Table2[[#This Row],[Nest_box_ID]],Sheet1!A:A,Sheet1!K:K, "No Match")</f>
        <v>16</v>
      </c>
      <c r="M190" s="11">
        <v>43781</v>
      </c>
      <c r="N190" s="16">
        <v>0.49694444444444447</v>
      </c>
      <c r="O190">
        <v>2</v>
      </c>
      <c r="P190">
        <v>45.383333329999999</v>
      </c>
      <c r="Q190" t="s">
        <v>319</v>
      </c>
      <c r="R190">
        <v>510</v>
      </c>
      <c r="S190">
        <f>_xlfn.XLOOKUP(Table2[[#This Row],[Obs_date]],'19-20_niwa_temp_data'!B:B,'19-20_niwa_temp_data'!G:G, "N/A")</f>
        <v>14.342245291445828</v>
      </c>
      <c r="T190">
        <f>_xlfn.XLOOKUP(Table2[[#This Row],[First_egg_lay_date]],'19-20_niwa_temp_data'!B:B,'19-20_niwa_temp_data'!G:G, "No Match")</f>
        <v>17.675972391922318</v>
      </c>
    </row>
    <row r="191" spans="1:20" hidden="1" x14ac:dyDescent="0.35">
      <c r="A191" t="s">
        <v>9</v>
      </c>
      <c r="B191" t="s">
        <v>31</v>
      </c>
      <c r="C191" s="3" t="s">
        <v>120</v>
      </c>
      <c r="D191" t="str">
        <f>_xlfn.XLOOKUP(Table2[[#This Row],[Female_ID ]],'19-20_female_cohort'!I:I,'19-20_female_cohort'!H:H, "No Match")</f>
        <v>2016/2017</v>
      </c>
      <c r="E191">
        <v>3</v>
      </c>
      <c r="F191" s="11">
        <v>43776</v>
      </c>
      <c r="G191">
        <f>_xlfn.XLOOKUP(Table2[[#This Row],[First_egg_lay_date]],'19-20_niwa_temp_data'!B:B,'19-20_niwa_temp_data'!G:G, "No Match")</f>
        <v>17.675972391922318</v>
      </c>
      <c r="H191">
        <v>3</v>
      </c>
      <c r="I191" s="11">
        <v>43779</v>
      </c>
      <c r="J191">
        <f>_xlfn.XLOOKUP(Table2[[#This Row],[Nest_box_ID]],Sheet1!A:A,Sheet1!L:L, "No Match")</f>
        <v>0</v>
      </c>
      <c r="K191" s="11">
        <v>43795</v>
      </c>
      <c r="L191">
        <f>_xlfn.XLOOKUP(Table2[[#This Row],[Nest_box_ID]],Sheet1!A:A,Sheet1!K:K, "No Match")</f>
        <v>16</v>
      </c>
      <c r="M191" s="11">
        <v>43781</v>
      </c>
      <c r="N191" s="16">
        <v>0.50284722222222222</v>
      </c>
      <c r="O191">
        <v>2</v>
      </c>
      <c r="P191">
        <v>45.383333329999999</v>
      </c>
      <c r="Q191" t="s">
        <v>320</v>
      </c>
      <c r="R191">
        <v>1457</v>
      </c>
      <c r="S191">
        <f>_xlfn.XLOOKUP(Table2[[#This Row],[Obs_date]],'19-20_niwa_temp_data'!B:B,'19-20_niwa_temp_data'!G:G, "N/A")</f>
        <v>14.342245291445828</v>
      </c>
      <c r="T191">
        <f>_xlfn.XLOOKUP(Table2[[#This Row],[First_egg_lay_date]],'19-20_niwa_temp_data'!B:B,'19-20_niwa_temp_data'!G:G, "No Match")</f>
        <v>17.675972391922318</v>
      </c>
    </row>
    <row r="192" spans="1:20" x14ac:dyDescent="0.35">
      <c r="A192" t="s">
        <v>9</v>
      </c>
      <c r="B192" t="s">
        <v>31</v>
      </c>
      <c r="C192" s="3" t="s">
        <v>120</v>
      </c>
      <c r="D192" t="str">
        <f>_xlfn.XLOOKUP(Table2[[#This Row],[Female_ID ]],'19-20_female_cohort'!I:I,'19-20_female_cohort'!H:H, "No Match")</f>
        <v>2016/2017</v>
      </c>
      <c r="E192">
        <v>3</v>
      </c>
      <c r="F192" s="11">
        <v>43776</v>
      </c>
      <c r="G192">
        <f>_xlfn.XLOOKUP(Table2[[#This Row],[First_egg_lay_date]],'19-20_niwa_temp_data'!B:B,'19-20_niwa_temp_data'!G:G, "No Match")</f>
        <v>17.675972391922318</v>
      </c>
      <c r="H192">
        <v>3</v>
      </c>
      <c r="I192" s="11">
        <v>43779</v>
      </c>
      <c r="J192">
        <f>_xlfn.XLOOKUP(Table2[[#This Row],[Nest_box_ID]],Sheet1!A:A,Sheet1!L:L, "No Match")</f>
        <v>0</v>
      </c>
      <c r="K192" s="11">
        <v>43795</v>
      </c>
      <c r="L192">
        <f>_xlfn.XLOOKUP(Table2[[#This Row],[Nest_box_ID]],Sheet1!A:A,Sheet1!K:K, "No Match")</f>
        <v>16</v>
      </c>
      <c r="M192" s="11">
        <v>43781</v>
      </c>
      <c r="N192" s="16">
        <v>0.51971064814814816</v>
      </c>
      <c r="O192">
        <v>2</v>
      </c>
      <c r="P192">
        <v>45.383333329999999</v>
      </c>
      <c r="Q192" t="s">
        <v>319</v>
      </c>
      <c r="R192">
        <v>2318</v>
      </c>
      <c r="S192">
        <f>_xlfn.XLOOKUP(Table2[[#This Row],[Obs_date]],'19-20_niwa_temp_data'!B:B,'19-20_niwa_temp_data'!G:G, "N/A")</f>
        <v>14.342245291445828</v>
      </c>
      <c r="T192">
        <f>_xlfn.XLOOKUP(Table2[[#This Row],[First_egg_lay_date]],'19-20_niwa_temp_data'!B:B,'19-20_niwa_temp_data'!G:G, "No Match")</f>
        <v>17.675972391922318</v>
      </c>
    </row>
    <row r="193" spans="1:20" hidden="1" x14ac:dyDescent="0.35">
      <c r="A193" t="s">
        <v>9</v>
      </c>
      <c r="B193" t="s">
        <v>31</v>
      </c>
      <c r="C193" s="3" t="s">
        <v>120</v>
      </c>
      <c r="D193" t="str">
        <f>_xlfn.XLOOKUP(Table2[[#This Row],[Female_ID ]],'19-20_female_cohort'!I:I,'19-20_female_cohort'!H:H, "No Match")</f>
        <v>2016/2017</v>
      </c>
      <c r="E193">
        <v>3</v>
      </c>
      <c r="F193" s="11">
        <v>43776</v>
      </c>
      <c r="G193">
        <f>_xlfn.XLOOKUP(Table2[[#This Row],[First_egg_lay_date]],'19-20_niwa_temp_data'!B:B,'19-20_niwa_temp_data'!G:G, "No Match")</f>
        <v>17.675972391922318</v>
      </c>
      <c r="H193">
        <v>3</v>
      </c>
      <c r="I193" s="11">
        <v>43779</v>
      </c>
      <c r="J193">
        <f>_xlfn.XLOOKUP(Table2[[#This Row],[Nest_box_ID]],Sheet1!A:A,Sheet1!L:L, "No Match")</f>
        <v>0</v>
      </c>
      <c r="K193" s="11">
        <v>43795</v>
      </c>
      <c r="L193">
        <f>_xlfn.XLOOKUP(Table2[[#This Row],[Nest_box_ID]],Sheet1!A:A,Sheet1!K:K, "No Match")</f>
        <v>16</v>
      </c>
      <c r="M193" s="11">
        <v>43792</v>
      </c>
      <c r="N193" s="16">
        <v>0.55760416666666668</v>
      </c>
      <c r="O193">
        <v>13</v>
      </c>
      <c r="P193">
        <v>73</v>
      </c>
      <c r="Q193" t="s">
        <v>320</v>
      </c>
      <c r="R193">
        <v>994</v>
      </c>
      <c r="S193">
        <f>_xlfn.XLOOKUP(Table2[[#This Row],[Obs_date]],'19-20_niwa_temp_data'!B:B,'19-20_niwa_temp_data'!G:G, "N/A")</f>
        <v>15.553777676178864</v>
      </c>
      <c r="T193">
        <f>_xlfn.XLOOKUP(Table2[[#This Row],[First_egg_lay_date]],'19-20_niwa_temp_data'!B:B,'19-20_niwa_temp_data'!G:G, "No Match")</f>
        <v>17.675972391922318</v>
      </c>
    </row>
    <row r="194" spans="1:20" x14ac:dyDescent="0.35">
      <c r="A194" t="s">
        <v>9</v>
      </c>
      <c r="B194" t="s">
        <v>31</v>
      </c>
      <c r="C194" s="3" t="s">
        <v>120</v>
      </c>
      <c r="D194" t="str">
        <f>_xlfn.XLOOKUP(Table2[[#This Row],[Female_ID ]],'19-20_female_cohort'!I:I,'19-20_female_cohort'!H:H, "No Match")</f>
        <v>2016/2017</v>
      </c>
      <c r="E194">
        <v>3</v>
      </c>
      <c r="F194" s="11">
        <v>43776</v>
      </c>
      <c r="G194">
        <f>_xlfn.XLOOKUP(Table2[[#This Row],[First_egg_lay_date]],'19-20_niwa_temp_data'!B:B,'19-20_niwa_temp_data'!G:G, "No Match")</f>
        <v>17.675972391922318</v>
      </c>
      <c r="H194">
        <v>3</v>
      </c>
      <c r="I194" s="11">
        <v>43779</v>
      </c>
      <c r="J194">
        <f>_xlfn.XLOOKUP(Table2[[#This Row],[Nest_box_ID]],Sheet1!A:A,Sheet1!L:L, "No Match")</f>
        <v>0</v>
      </c>
      <c r="K194" s="11">
        <v>43795</v>
      </c>
      <c r="L194">
        <f>_xlfn.XLOOKUP(Table2[[#This Row],[Nest_box_ID]],Sheet1!A:A,Sheet1!K:K, "No Match")</f>
        <v>16</v>
      </c>
      <c r="M194" s="11">
        <v>43792</v>
      </c>
      <c r="N194" s="16">
        <v>0.56910879629629629</v>
      </c>
      <c r="O194">
        <v>13</v>
      </c>
      <c r="P194">
        <v>73</v>
      </c>
      <c r="Q194" t="s">
        <v>319</v>
      </c>
      <c r="R194">
        <v>68</v>
      </c>
      <c r="S194">
        <f>_xlfn.XLOOKUP(Table2[[#This Row],[Obs_date]],'19-20_niwa_temp_data'!B:B,'19-20_niwa_temp_data'!G:G, "N/A")</f>
        <v>15.553777676178864</v>
      </c>
      <c r="T194">
        <f>_xlfn.XLOOKUP(Table2[[#This Row],[First_egg_lay_date]],'19-20_niwa_temp_data'!B:B,'19-20_niwa_temp_data'!G:G, "No Match")</f>
        <v>17.675972391922318</v>
      </c>
    </row>
    <row r="195" spans="1:20" hidden="1" x14ac:dyDescent="0.35">
      <c r="A195" t="s">
        <v>9</v>
      </c>
      <c r="B195" t="s">
        <v>31</v>
      </c>
      <c r="C195" s="3" t="s">
        <v>120</v>
      </c>
      <c r="D195" t="str">
        <f>_xlfn.XLOOKUP(Table2[[#This Row],[Female_ID ]],'19-20_female_cohort'!I:I,'19-20_female_cohort'!H:H, "No Match")</f>
        <v>2016/2017</v>
      </c>
      <c r="E195">
        <v>3</v>
      </c>
      <c r="F195" s="11">
        <v>43776</v>
      </c>
      <c r="G195">
        <f>_xlfn.XLOOKUP(Table2[[#This Row],[First_egg_lay_date]],'19-20_niwa_temp_data'!B:B,'19-20_niwa_temp_data'!G:G, "No Match")</f>
        <v>17.675972391922318</v>
      </c>
      <c r="H195">
        <v>3</v>
      </c>
      <c r="I195" s="11">
        <v>43779</v>
      </c>
      <c r="J195">
        <f>_xlfn.XLOOKUP(Table2[[#This Row],[Nest_box_ID]],Sheet1!A:A,Sheet1!L:L, "No Match")</f>
        <v>0</v>
      </c>
      <c r="K195" s="11">
        <v>43795</v>
      </c>
      <c r="L195">
        <f>_xlfn.XLOOKUP(Table2[[#This Row],[Nest_box_ID]],Sheet1!A:A,Sheet1!K:K, "No Match")</f>
        <v>16</v>
      </c>
      <c r="M195" s="11">
        <v>43792</v>
      </c>
      <c r="N195" s="16">
        <v>0.56989583333333338</v>
      </c>
      <c r="O195">
        <v>13</v>
      </c>
      <c r="P195">
        <v>73</v>
      </c>
      <c r="Q195" t="s">
        <v>320</v>
      </c>
      <c r="R195">
        <v>2030</v>
      </c>
      <c r="S195">
        <f>_xlfn.XLOOKUP(Table2[[#This Row],[Obs_date]],'19-20_niwa_temp_data'!B:B,'19-20_niwa_temp_data'!G:G, "N/A")</f>
        <v>15.553777676178864</v>
      </c>
      <c r="T195">
        <f>_xlfn.XLOOKUP(Table2[[#This Row],[First_egg_lay_date]],'19-20_niwa_temp_data'!B:B,'19-20_niwa_temp_data'!G:G, "No Match")</f>
        <v>17.675972391922318</v>
      </c>
    </row>
    <row r="196" spans="1:20" hidden="1" x14ac:dyDescent="0.35">
      <c r="A196" t="s">
        <v>9</v>
      </c>
      <c r="B196" t="s">
        <v>31</v>
      </c>
      <c r="C196" s="3" t="s">
        <v>120</v>
      </c>
      <c r="D196" t="str">
        <f>_xlfn.XLOOKUP(Table2[[#This Row],[Female_ID ]],'19-20_female_cohort'!I:I,'19-20_female_cohort'!H:H, "No Match")</f>
        <v>2016/2017</v>
      </c>
      <c r="E196">
        <v>3</v>
      </c>
      <c r="F196" s="11">
        <v>43776</v>
      </c>
      <c r="G196">
        <f>_xlfn.XLOOKUP(Table2[[#This Row],[First_egg_lay_date]],'19-20_niwa_temp_data'!B:B,'19-20_niwa_temp_data'!G:G, "No Match")</f>
        <v>17.675972391922318</v>
      </c>
      <c r="H196">
        <v>3</v>
      </c>
      <c r="I196" s="11">
        <v>43779</v>
      </c>
      <c r="J196">
        <f>_xlfn.XLOOKUP(Table2[[#This Row],[Nest_box_ID]],Sheet1!A:A,Sheet1!L:L, "No Match")</f>
        <v>0</v>
      </c>
      <c r="K196" s="11">
        <v>43795</v>
      </c>
      <c r="L196">
        <f>_xlfn.XLOOKUP(Table2[[#This Row],[Nest_box_ID]],Sheet1!A:A,Sheet1!K:K, "No Match")</f>
        <v>16</v>
      </c>
      <c r="M196" s="11">
        <v>43792</v>
      </c>
      <c r="N196" s="16">
        <v>0.59339120370370368</v>
      </c>
      <c r="O196">
        <v>13</v>
      </c>
      <c r="P196">
        <v>73</v>
      </c>
      <c r="Q196" t="s">
        <v>319</v>
      </c>
      <c r="R196" t="s">
        <v>254</v>
      </c>
      <c r="S196">
        <f>_xlfn.XLOOKUP(Table2[[#This Row],[Obs_date]],'19-20_niwa_temp_data'!B:B,'19-20_niwa_temp_data'!G:G, "N/A")</f>
        <v>15.553777676178864</v>
      </c>
      <c r="T196">
        <f>_xlfn.XLOOKUP(Table2[[#This Row],[First_egg_lay_date]],'19-20_niwa_temp_data'!B:B,'19-20_niwa_temp_data'!G:G, "No Match")</f>
        <v>17.675972391922318</v>
      </c>
    </row>
    <row r="197" spans="1:20" x14ac:dyDescent="0.35">
      <c r="A197" t="s">
        <v>9</v>
      </c>
      <c r="B197" t="s">
        <v>71</v>
      </c>
      <c r="C197" s="3" t="s">
        <v>160</v>
      </c>
      <c r="D197" t="str">
        <f>_xlfn.XLOOKUP(Table2[[#This Row],[Female_ID ]],'19-20_female_cohort'!I:I,'19-20_female_cohort'!H:H, "No Match")</f>
        <v>2017/2018</v>
      </c>
      <c r="E197">
        <v>2</v>
      </c>
      <c r="F197" s="11">
        <v>43802</v>
      </c>
      <c r="G197">
        <f>_xlfn.XLOOKUP(Table2[[#This Row],[First_egg_lay_date]],'19-20_niwa_temp_data'!B:B,'19-20_niwa_temp_data'!G:G, "No Match")</f>
        <v>18.244999314880776</v>
      </c>
      <c r="H197">
        <v>4</v>
      </c>
      <c r="I197" s="11">
        <v>43805</v>
      </c>
      <c r="J197">
        <f>_xlfn.XLOOKUP(Table2[[#This Row],[Nest_box_ID]],Sheet1!A:A,Sheet1!L:L, "No Match")</f>
        <v>0</v>
      </c>
      <c r="K197" s="11">
        <v>43819</v>
      </c>
      <c r="L197">
        <f>_xlfn.XLOOKUP(Table2[[#This Row],[Nest_box_ID]],Sheet1!A:A,Sheet1!K:K, "No Match")</f>
        <v>14</v>
      </c>
      <c r="M197" s="11">
        <v>43806</v>
      </c>
      <c r="N197" s="16">
        <v>0.56821759259259264</v>
      </c>
      <c r="O197">
        <v>1</v>
      </c>
      <c r="P197">
        <v>62</v>
      </c>
      <c r="Q197" t="s">
        <v>319</v>
      </c>
      <c r="R197">
        <v>227</v>
      </c>
      <c r="S197">
        <f>_xlfn.XLOOKUP(Table2[[#This Row],[Obs_date]],'19-20_niwa_temp_data'!B:B,'19-20_niwa_temp_data'!G:G, "N/A")</f>
        <v>18.187358246870268</v>
      </c>
      <c r="T197">
        <f>_xlfn.XLOOKUP(Table2[[#This Row],[First_egg_lay_date]],'19-20_niwa_temp_data'!B:B,'19-20_niwa_temp_data'!G:G, "No Match")</f>
        <v>18.244999314880776</v>
      </c>
    </row>
    <row r="198" spans="1:20" hidden="1" x14ac:dyDescent="0.35">
      <c r="A198" t="s">
        <v>9</v>
      </c>
      <c r="B198" t="s">
        <v>71</v>
      </c>
      <c r="C198" s="3" t="s">
        <v>160</v>
      </c>
      <c r="D198" t="str">
        <f>_xlfn.XLOOKUP(Table2[[#This Row],[Female_ID ]],'19-20_female_cohort'!I:I,'19-20_female_cohort'!H:H, "No Match")</f>
        <v>2017/2018</v>
      </c>
      <c r="E198">
        <v>2</v>
      </c>
      <c r="F198" s="11">
        <v>43802</v>
      </c>
      <c r="G198">
        <f>_xlfn.XLOOKUP(Table2[[#This Row],[First_egg_lay_date]],'19-20_niwa_temp_data'!B:B,'19-20_niwa_temp_data'!G:G, "No Match")</f>
        <v>18.244999314880776</v>
      </c>
      <c r="H198">
        <v>4</v>
      </c>
      <c r="I198" s="11">
        <v>43805</v>
      </c>
      <c r="J198">
        <f>_xlfn.XLOOKUP(Table2[[#This Row],[Nest_box_ID]],Sheet1!A:A,Sheet1!L:L, "No Match")</f>
        <v>0</v>
      </c>
      <c r="K198" s="11">
        <v>43819</v>
      </c>
      <c r="L198">
        <f>_xlfn.XLOOKUP(Table2[[#This Row],[Nest_box_ID]],Sheet1!A:A,Sheet1!K:K, "No Match")</f>
        <v>14</v>
      </c>
      <c r="M198" s="11">
        <v>43806</v>
      </c>
      <c r="N198" s="16">
        <v>0.57084490740740745</v>
      </c>
      <c r="O198">
        <v>1</v>
      </c>
      <c r="P198">
        <v>62</v>
      </c>
      <c r="Q198" t="s">
        <v>320</v>
      </c>
      <c r="R198">
        <v>458</v>
      </c>
      <c r="S198">
        <f>_xlfn.XLOOKUP(Table2[[#This Row],[Obs_date]],'19-20_niwa_temp_data'!B:B,'19-20_niwa_temp_data'!G:G, "N/A")</f>
        <v>18.187358246870268</v>
      </c>
      <c r="T198">
        <f>_xlfn.XLOOKUP(Table2[[#This Row],[First_egg_lay_date]],'19-20_niwa_temp_data'!B:B,'19-20_niwa_temp_data'!G:G, "No Match")</f>
        <v>18.244999314880776</v>
      </c>
    </row>
    <row r="199" spans="1:20" x14ac:dyDescent="0.35">
      <c r="A199" t="s">
        <v>9</v>
      </c>
      <c r="B199" t="s">
        <v>71</v>
      </c>
      <c r="C199" s="3" t="s">
        <v>160</v>
      </c>
      <c r="D199" t="str">
        <f>_xlfn.XLOOKUP(Table2[[#This Row],[Female_ID ]],'19-20_female_cohort'!I:I,'19-20_female_cohort'!H:H, "No Match")</f>
        <v>2017/2018</v>
      </c>
      <c r="E199">
        <v>2</v>
      </c>
      <c r="F199" s="11">
        <v>43802</v>
      </c>
      <c r="G199">
        <f>_xlfn.XLOOKUP(Table2[[#This Row],[First_egg_lay_date]],'19-20_niwa_temp_data'!B:B,'19-20_niwa_temp_data'!G:G, "No Match")</f>
        <v>18.244999314880776</v>
      </c>
      <c r="H199">
        <v>4</v>
      </c>
      <c r="I199" s="11">
        <v>43805</v>
      </c>
      <c r="J199">
        <f>_xlfn.XLOOKUP(Table2[[#This Row],[Nest_box_ID]],Sheet1!A:A,Sheet1!L:L, "No Match")</f>
        <v>0</v>
      </c>
      <c r="K199" s="11">
        <v>43819</v>
      </c>
      <c r="L199">
        <f>_xlfn.XLOOKUP(Table2[[#This Row],[Nest_box_ID]],Sheet1!A:A,Sheet1!K:K, "No Match")</f>
        <v>14</v>
      </c>
      <c r="M199" s="11">
        <v>43806</v>
      </c>
      <c r="N199" s="16">
        <v>0.57614583333333336</v>
      </c>
      <c r="O199">
        <v>1</v>
      </c>
      <c r="P199">
        <v>62</v>
      </c>
      <c r="Q199" t="s">
        <v>319</v>
      </c>
      <c r="R199">
        <v>242</v>
      </c>
      <c r="S199">
        <f>_xlfn.XLOOKUP(Table2[[#This Row],[Obs_date]],'19-20_niwa_temp_data'!B:B,'19-20_niwa_temp_data'!G:G, "N/A")</f>
        <v>18.187358246870268</v>
      </c>
      <c r="T199">
        <f>_xlfn.XLOOKUP(Table2[[#This Row],[First_egg_lay_date]],'19-20_niwa_temp_data'!B:B,'19-20_niwa_temp_data'!G:G, "No Match")</f>
        <v>18.244999314880776</v>
      </c>
    </row>
    <row r="200" spans="1:20" hidden="1" x14ac:dyDescent="0.35">
      <c r="A200" t="s">
        <v>9</v>
      </c>
      <c r="B200" t="s">
        <v>71</v>
      </c>
      <c r="C200" s="3" t="s">
        <v>160</v>
      </c>
      <c r="D200" t="str">
        <f>_xlfn.XLOOKUP(Table2[[#This Row],[Female_ID ]],'19-20_female_cohort'!I:I,'19-20_female_cohort'!H:H, "No Match")</f>
        <v>2017/2018</v>
      </c>
      <c r="E200">
        <v>2</v>
      </c>
      <c r="F200" s="11">
        <v>43802</v>
      </c>
      <c r="G200">
        <f>_xlfn.XLOOKUP(Table2[[#This Row],[First_egg_lay_date]],'19-20_niwa_temp_data'!B:B,'19-20_niwa_temp_data'!G:G, "No Match")</f>
        <v>18.244999314880776</v>
      </c>
      <c r="H200">
        <v>4</v>
      </c>
      <c r="I200" s="11">
        <v>43805</v>
      </c>
      <c r="J200">
        <f>_xlfn.XLOOKUP(Table2[[#This Row],[Nest_box_ID]],Sheet1!A:A,Sheet1!L:L, "No Match")</f>
        <v>0</v>
      </c>
      <c r="K200" s="11">
        <v>43819</v>
      </c>
      <c r="L200">
        <f>_xlfn.XLOOKUP(Table2[[#This Row],[Nest_box_ID]],Sheet1!A:A,Sheet1!K:K, "No Match")</f>
        <v>14</v>
      </c>
      <c r="M200" s="11">
        <v>43806</v>
      </c>
      <c r="N200" s="16">
        <v>0.57894675925925931</v>
      </c>
      <c r="O200">
        <v>1</v>
      </c>
      <c r="P200">
        <v>62</v>
      </c>
      <c r="Q200" t="s">
        <v>320</v>
      </c>
      <c r="R200">
        <v>1020</v>
      </c>
      <c r="S200">
        <f>_xlfn.XLOOKUP(Table2[[#This Row],[Obs_date]],'19-20_niwa_temp_data'!B:B,'19-20_niwa_temp_data'!G:G, "N/A")</f>
        <v>18.187358246870268</v>
      </c>
      <c r="T200">
        <f>_xlfn.XLOOKUP(Table2[[#This Row],[First_egg_lay_date]],'19-20_niwa_temp_data'!B:B,'19-20_niwa_temp_data'!G:G, "No Match")</f>
        <v>18.244999314880776</v>
      </c>
    </row>
    <row r="201" spans="1:20" x14ac:dyDescent="0.35">
      <c r="A201" t="s">
        <v>9</v>
      </c>
      <c r="B201" t="s">
        <v>71</v>
      </c>
      <c r="C201" s="3" t="s">
        <v>160</v>
      </c>
      <c r="D201" t="str">
        <f>_xlfn.XLOOKUP(Table2[[#This Row],[Female_ID ]],'19-20_female_cohort'!I:I,'19-20_female_cohort'!H:H, "No Match")</f>
        <v>2017/2018</v>
      </c>
      <c r="E201">
        <v>2</v>
      </c>
      <c r="F201" s="11">
        <v>43802</v>
      </c>
      <c r="G201">
        <f>_xlfn.XLOOKUP(Table2[[#This Row],[First_egg_lay_date]],'19-20_niwa_temp_data'!B:B,'19-20_niwa_temp_data'!G:G, "No Match")</f>
        <v>18.244999314880776</v>
      </c>
      <c r="H201">
        <v>4</v>
      </c>
      <c r="I201" s="11">
        <v>43805</v>
      </c>
      <c r="J201">
        <f>_xlfn.XLOOKUP(Table2[[#This Row],[Nest_box_ID]],Sheet1!A:A,Sheet1!L:L, "No Match")</f>
        <v>0</v>
      </c>
      <c r="K201" s="11">
        <v>43819</v>
      </c>
      <c r="L201">
        <f>_xlfn.XLOOKUP(Table2[[#This Row],[Nest_box_ID]],Sheet1!A:A,Sheet1!K:K, "No Match")</f>
        <v>14</v>
      </c>
      <c r="M201" s="11">
        <v>43806</v>
      </c>
      <c r="N201" s="16">
        <v>0.59075231481481483</v>
      </c>
      <c r="O201">
        <v>1</v>
      </c>
      <c r="P201">
        <v>62</v>
      </c>
      <c r="Q201" t="s">
        <v>319</v>
      </c>
      <c r="R201">
        <v>254</v>
      </c>
      <c r="S201">
        <f>_xlfn.XLOOKUP(Table2[[#This Row],[Obs_date]],'19-20_niwa_temp_data'!B:B,'19-20_niwa_temp_data'!G:G, "N/A")</f>
        <v>18.187358246870268</v>
      </c>
      <c r="T201">
        <f>_xlfn.XLOOKUP(Table2[[#This Row],[First_egg_lay_date]],'19-20_niwa_temp_data'!B:B,'19-20_niwa_temp_data'!G:G, "No Match")</f>
        <v>18.244999314880776</v>
      </c>
    </row>
    <row r="202" spans="1:20" hidden="1" x14ac:dyDescent="0.35">
      <c r="A202" t="s">
        <v>9</v>
      </c>
      <c r="B202" t="s">
        <v>71</v>
      </c>
      <c r="C202" s="3" t="s">
        <v>160</v>
      </c>
      <c r="D202" t="str">
        <f>_xlfn.XLOOKUP(Table2[[#This Row],[Female_ID ]],'19-20_female_cohort'!I:I,'19-20_female_cohort'!H:H, "No Match")</f>
        <v>2017/2018</v>
      </c>
      <c r="E202">
        <v>2</v>
      </c>
      <c r="F202" s="11">
        <v>43802</v>
      </c>
      <c r="G202">
        <f>_xlfn.XLOOKUP(Table2[[#This Row],[First_egg_lay_date]],'19-20_niwa_temp_data'!B:B,'19-20_niwa_temp_data'!G:G, "No Match")</f>
        <v>18.244999314880776</v>
      </c>
      <c r="H202">
        <v>4</v>
      </c>
      <c r="I202" s="11">
        <v>43805</v>
      </c>
      <c r="J202">
        <f>_xlfn.XLOOKUP(Table2[[#This Row],[Nest_box_ID]],Sheet1!A:A,Sheet1!L:L, "No Match")</f>
        <v>0</v>
      </c>
      <c r="K202" s="11">
        <v>43819</v>
      </c>
      <c r="L202">
        <f>_xlfn.XLOOKUP(Table2[[#This Row],[Nest_box_ID]],Sheet1!A:A,Sheet1!K:K, "No Match")</f>
        <v>14</v>
      </c>
      <c r="M202" s="11">
        <v>43806</v>
      </c>
      <c r="N202" s="16">
        <v>0.59369212962962958</v>
      </c>
      <c r="O202">
        <v>1</v>
      </c>
      <c r="P202">
        <v>62</v>
      </c>
      <c r="Q202" t="s">
        <v>320</v>
      </c>
      <c r="R202" t="s">
        <v>254</v>
      </c>
      <c r="S202">
        <f>_xlfn.XLOOKUP(Table2[[#This Row],[Obs_date]],'19-20_niwa_temp_data'!B:B,'19-20_niwa_temp_data'!G:G, "N/A")</f>
        <v>18.187358246870268</v>
      </c>
      <c r="T202">
        <f>_xlfn.XLOOKUP(Table2[[#This Row],[First_egg_lay_date]],'19-20_niwa_temp_data'!B:B,'19-20_niwa_temp_data'!G:G, "No Match")</f>
        <v>18.244999314880776</v>
      </c>
    </row>
    <row r="203" spans="1:20" hidden="1" x14ac:dyDescent="0.35">
      <c r="A203" t="s">
        <v>9</v>
      </c>
      <c r="B203" t="s">
        <v>92</v>
      </c>
      <c r="C203" s="3" t="s">
        <v>176</v>
      </c>
      <c r="D203" t="str">
        <f>_xlfn.XLOOKUP(Table2[[#This Row],[Female_ID ]],'19-20_female_cohort'!I:I,'19-20_female_cohort'!H:H, "No Match")</f>
        <v>2018/2019</v>
      </c>
      <c r="E203">
        <v>1</v>
      </c>
      <c r="F203" s="11">
        <v>43812</v>
      </c>
      <c r="G203">
        <f>_xlfn.XLOOKUP(Table2[[#This Row],[First_egg_lay_date]],'19-20_niwa_temp_data'!B:B,'19-20_niwa_temp_data'!G:G, "No Match")</f>
        <v>18.30901417335188</v>
      </c>
      <c r="H203">
        <v>3</v>
      </c>
      <c r="I203" s="11">
        <v>43814</v>
      </c>
      <c r="J203">
        <f>_xlfn.XLOOKUP(Table2[[#This Row],[Nest_box_ID]],Sheet1!A:A,Sheet1!L:L, "No Match")</f>
        <v>0</v>
      </c>
      <c r="K203" s="11">
        <v>43828</v>
      </c>
      <c r="L203">
        <f>_xlfn.XLOOKUP(Table2[[#This Row],[Nest_box_ID]],Sheet1!A:A,Sheet1!K:K, "No Match")</f>
        <v>14</v>
      </c>
      <c r="M203" s="11">
        <v>43816</v>
      </c>
      <c r="N203" s="16">
        <v>0.60295138888888888</v>
      </c>
      <c r="O203">
        <v>1</v>
      </c>
      <c r="P203">
        <v>42</v>
      </c>
      <c r="Q203" t="s">
        <v>320</v>
      </c>
      <c r="R203">
        <v>740.00000000000375</v>
      </c>
      <c r="S203">
        <f>_xlfn.XLOOKUP(Table2[[#This Row],[Obs_date]],'19-20_niwa_temp_data'!B:B,'19-20_niwa_temp_data'!G:G, "N/A")</f>
        <v>17.491998170592176</v>
      </c>
      <c r="T203">
        <f>_xlfn.XLOOKUP(Table2[[#This Row],[First_egg_lay_date]],'19-20_niwa_temp_data'!B:B,'19-20_niwa_temp_data'!G:G, "No Match")</f>
        <v>18.30901417335188</v>
      </c>
    </row>
    <row r="204" spans="1:20" x14ac:dyDescent="0.35">
      <c r="A204" t="s">
        <v>9</v>
      </c>
      <c r="B204" t="s">
        <v>92</v>
      </c>
      <c r="C204" s="3" t="s">
        <v>176</v>
      </c>
      <c r="D204" t="str">
        <f>_xlfn.XLOOKUP(Table2[[#This Row],[Female_ID ]],'19-20_female_cohort'!I:I,'19-20_female_cohort'!H:H, "No Match")</f>
        <v>2018/2019</v>
      </c>
      <c r="E204">
        <v>1</v>
      </c>
      <c r="F204" s="11">
        <v>43812</v>
      </c>
      <c r="G204">
        <f>_xlfn.XLOOKUP(Table2[[#This Row],[First_egg_lay_date]],'19-20_niwa_temp_data'!B:B,'19-20_niwa_temp_data'!G:G, "No Match")</f>
        <v>18.30901417335188</v>
      </c>
      <c r="H204">
        <v>3</v>
      </c>
      <c r="I204" s="11">
        <v>43814</v>
      </c>
      <c r="J204">
        <f>_xlfn.XLOOKUP(Table2[[#This Row],[Nest_box_ID]],Sheet1!A:A,Sheet1!L:L, "No Match")</f>
        <v>0</v>
      </c>
      <c r="K204" s="11">
        <v>43828</v>
      </c>
      <c r="L204">
        <f>_xlfn.XLOOKUP(Table2[[#This Row],[Nest_box_ID]],Sheet1!A:A,Sheet1!K:K, "No Match")</f>
        <v>14</v>
      </c>
      <c r="M204" s="11">
        <v>43816</v>
      </c>
      <c r="N204" s="16">
        <v>0.61151620370370374</v>
      </c>
      <c r="O204">
        <v>1</v>
      </c>
      <c r="P204">
        <v>42</v>
      </c>
      <c r="Q204" t="s">
        <v>319</v>
      </c>
      <c r="R204">
        <v>377.99999999999193</v>
      </c>
      <c r="S204">
        <f>_xlfn.XLOOKUP(Table2[[#This Row],[Obs_date]],'19-20_niwa_temp_data'!B:B,'19-20_niwa_temp_data'!G:G, "N/A")</f>
        <v>17.491998170592176</v>
      </c>
      <c r="T204">
        <f>_xlfn.XLOOKUP(Table2[[#This Row],[First_egg_lay_date]],'19-20_niwa_temp_data'!B:B,'19-20_niwa_temp_data'!G:G, "No Match")</f>
        <v>18.30901417335188</v>
      </c>
    </row>
    <row r="205" spans="1:20" hidden="1" x14ac:dyDescent="0.35">
      <c r="A205" t="s">
        <v>9</v>
      </c>
      <c r="B205" t="s">
        <v>92</v>
      </c>
      <c r="C205" s="3" t="s">
        <v>176</v>
      </c>
      <c r="D205" t="str">
        <f>_xlfn.XLOOKUP(Table2[[#This Row],[Female_ID ]],'19-20_female_cohort'!I:I,'19-20_female_cohort'!H:H, "No Match")</f>
        <v>2018/2019</v>
      </c>
      <c r="E205">
        <v>1</v>
      </c>
      <c r="F205" s="11">
        <v>43812</v>
      </c>
      <c r="G205">
        <f>_xlfn.XLOOKUP(Table2[[#This Row],[First_egg_lay_date]],'19-20_niwa_temp_data'!B:B,'19-20_niwa_temp_data'!G:G, "No Match")</f>
        <v>18.30901417335188</v>
      </c>
      <c r="H205">
        <v>3</v>
      </c>
      <c r="I205" s="11">
        <v>43814</v>
      </c>
      <c r="J205">
        <f>_xlfn.XLOOKUP(Table2[[#This Row],[Nest_box_ID]],Sheet1!A:A,Sheet1!L:L, "No Match")</f>
        <v>0</v>
      </c>
      <c r="K205" s="11">
        <v>43828</v>
      </c>
      <c r="L205">
        <f>_xlfn.XLOOKUP(Table2[[#This Row],[Nest_box_ID]],Sheet1!A:A,Sheet1!K:K, "No Match")</f>
        <v>14</v>
      </c>
      <c r="M205" s="11">
        <v>43816</v>
      </c>
      <c r="N205" s="16">
        <v>0.61589120370370365</v>
      </c>
      <c r="O205">
        <v>1</v>
      </c>
      <c r="P205">
        <v>42</v>
      </c>
      <c r="Q205" t="s">
        <v>320</v>
      </c>
      <c r="R205">
        <v>2.0000000000035101</v>
      </c>
      <c r="S205">
        <f>_xlfn.XLOOKUP(Table2[[#This Row],[Obs_date]],'19-20_niwa_temp_data'!B:B,'19-20_niwa_temp_data'!G:G, "N/A")</f>
        <v>17.491998170592176</v>
      </c>
      <c r="T205">
        <f>_xlfn.XLOOKUP(Table2[[#This Row],[First_egg_lay_date]],'19-20_niwa_temp_data'!B:B,'19-20_niwa_temp_data'!G:G, "No Match")</f>
        <v>18.30901417335188</v>
      </c>
    </row>
    <row r="206" spans="1:20" x14ac:dyDescent="0.35">
      <c r="A206" t="s">
        <v>9</v>
      </c>
      <c r="B206" t="s">
        <v>92</v>
      </c>
      <c r="C206" s="3" t="s">
        <v>176</v>
      </c>
      <c r="D206" t="str">
        <f>_xlfn.XLOOKUP(Table2[[#This Row],[Female_ID ]],'19-20_female_cohort'!I:I,'19-20_female_cohort'!H:H, "No Match")</f>
        <v>2018/2019</v>
      </c>
      <c r="E206">
        <v>1</v>
      </c>
      <c r="F206" s="11">
        <v>43812</v>
      </c>
      <c r="G206">
        <f>_xlfn.XLOOKUP(Table2[[#This Row],[First_egg_lay_date]],'19-20_niwa_temp_data'!B:B,'19-20_niwa_temp_data'!G:G, "No Match")</f>
        <v>18.30901417335188</v>
      </c>
      <c r="H206">
        <v>3</v>
      </c>
      <c r="I206" s="11">
        <v>43814</v>
      </c>
      <c r="J206">
        <f>_xlfn.XLOOKUP(Table2[[#This Row],[Nest_box_ID]],Sheet1!A:A,Sheet1!L:L, "No Match")</f>
        <v>0</v>
      </c>
      <c r="K206" s="11">
        <v>43828</v>
      </c>
      <c r="L206">
        <f>_xlfn.XLOOKUP(Table2[[#This Row],[Nest_box_ID]],Sheet1!A:A,Sheet1!K:K, "No Match")</f>
        <v>14</v>
      </c>
      <c r="M206" s="11">
        <v>43816</v>
      </c>
      <c r="N206" s="16">
        <v>0.61591435185185184</v>
      </c>
      <c r="O206">
        <v>1</v>
      </c>
      <c r="P206">
        <v>42</v>
      </c>
      <c r="Q206" t="s">
        <v>319</v>
      </c>
      <c r="R206">
        <v>31.000000000001648</v>
      </c>
      <c r="S206">
        <f>_xlfn.XLOOKUP(Table2[[#This Row],[Obs_date]],'19-20_niwa_temp_data'!B:B,'19-20_niwa_temp_data'!G:G, "N/A")</f>
        <v>17.491998170592176</v>
      </c>
      <c r="T206">
        <f>_xlfn.XLOOKUP(Table2[[#This Row],[First_egg_lay_date]],'19-20_niwa_temp_data'!B:B,'19-20_niwa_temp_data'!G:G, "No Match")</f>
        <v>18.30901417335188</v>
      </c>
    </row>
    <row r="207" spans="1:20" hidden="1" x14ac:dyDescent="0.35">
      <c r="A207" t="s">
        <v>9</v>
      </c>
      <c r="B207" t="s">
        <v>92</v>
      </c>
      <c r="C207" s="3" t="s">
        <v>176</v>
      </c>
      <c r="D207" t="str">
        <f>_xlfn.XLOOKUP(Table2[[#This Row],[Female_ID ]],'19-20_female_cohort'!I:I,'19-20_female_cohort'!H:H, "No Match")</f>
        <v>2018/2019</v>
      </c>
      <c r="E207">
        <v>1</v>
      </c>
      <c r="F207" s="11">
        <v>43812</v>
      </c>
      <c r="G207">
        <f>_xlfn.XLOOKUP(Table2[[#This Row],[First_egg_lay_date]],'19-20_niwa_temp_data'!B:B,'19-20_niwa_temp_data'!G:G, "No Match")</f>
        <v>18.30901417335188</v>
      </c>
      <c r="H207">
        <v>3</v>
      </c>
      <c r="I207" s="11">
        <v>43814</v>
      </c>
      <c r="J207">
        <f>_xlfn.XLOOKUP(Table2[[#This Row],[Nest_box_ID]],Sheet1!A:A,Sheet1!L:L, "No Match")</f>
        <v>0</v>
      </c>
      <c r="K207" s="11">
        <v>43828</v>
      </c>
      <c r="L207">
        <f>_xlfn.XLOOKUP(Table2[[#This Row],[Nest_box_ID]],Sheet1!A:A,Sheet1!K:K, "No Match")</f>
        <v>14</v>
      </c>
      <c r="M207" s="11">
        <v>43816</v>
      </c>
      <c r="N207" s="16">
        <v>0.61627314814814815</v>
      </c>
      <c r="O207">
        <v>1</v>
      </c>
      <c r="P207">
        <v>42</v>
      </c>
      <c r="Q207" t="s">
        <v>320</v>
      </c>
      <c r="R207">
        <v>447.99999999999966</v>
      </c>
      <c r="S207">
        <f>_xlfn.XLOOKUP(Table2[[#This Row],[Obs_date]],'19-20_niwa_temp_data'!B:B,'19-20_niwa_temp_data'!G:G, "N/A")</f>
        <v>17.491998170592176</v>
      </c>
      <c r="T207">
        <f>_xlfn.XLOOKUP(Table2[[#This Row],[First_egg_lay_date]],'19-20_niwa_temp_data'!B:B,'19-20_niwa_temp_data'!G:G, "No Match")</f>
        <v>18.30901417335188</v>
      </c>
    </row>
    <row r="208" spans="1:20" x14ac:dyDescent="0.35">
      <c r="A208" t="s">
        <v>9</v>
      </c>
      <c r="B208" t="s">
        <v>92</v>
      </c>
      <c r="C208" s="3" t="s">
        <v>176</v>
      </c>
      <c r="D208" t="str">
        <f>_xlfn.XLOOKUP(Table2[[#This Row],[Female_ID ]],'19-20_female_cohort'!I:I,'19-20_female_cohort'!H:H, "No Match")</f>
        <v>2018/2019</v>
      </c>
      <c r="E208">
        <v>1</v>
      </c>
      <c r="F208" s="11">
        <v>43812</v>
      </c>
      <c r="G208">
        <f>_xlfn.XLOOKUP(Table2[[#This Row],[First_egg_lay_date]],'19-20_niwa_temp_data'!B:B,'19-20_niwa_temp_data'!G:G, "No Match")</f>
        <v>18.30901417335188</v>
      </c>
      <c r="H208">
        <v>3</v>
      </c>
      <c r="I208" s="11">
        <v>43814</v>
      </c>
      <c r="J208">
        <f>_xlfn.XLOOKUP(Table2[[#This Row],[Nest_box_ID]],Sheet1!A:A,Sheet1!L:L, "No Match")</f>
        <v>0</v>
      </c>
      <c r="K208" s="11">
        <v>43828</v>
      </c>
      <c r="L208">
        <f>_xlfn.XLOOKUP(Table2[[#This Row],[Nest_box_ID]],Sheet1!A:A,Sheet1!K:K, "No Match")</f>
        <v>14</v>
      </c>
      <c r="M208" s="11">
        <v>43816</v>
      </c>
      <c r="N208" s="16">
        <v>0.62145833333333333</v>
      </c>
      <c r="O208">
        <v>1</v>
      </c>
      <c r="P208">
        <v>42</v>
      </c>
      <c r="Q208" t="s">
        <v>319</v>
      </c>
      <c r="R208">
        <v>303.99999999999636</v>
      </c>
      <c r="S208">
        <f>_xlfn.XLOOKUP(Table2[[#This Row],[Obs_date]],'19-20_niwa_temp_data'!B:B,'19-20_niwa_temp_data'!G:G, "N/A")</f>
        <v>17.491998170592176</v>
      </c>
      <c r="T208">
        <f>_xlfn.XLOOKUP(Table2[[#This Row],[First_egg_lay_date]],'19-20_niwa_temp_data'!B:B,'19-20_niwa_temp_data'!G:G, "No Match")</f>
        <v>18.30901417335188</v>
      </c>
    </row>
    <row r="209" spans="1:20" hidden="1" x14ac:dyDescent="0.35">
      <c r="A209" t="s">
        <v>9</v>
      </c>
      <c r="B209" t="s">
        <v>92</v>
      </c>
      <c r="C209" s="3" t="s">
        <v>176</v>
      </c>
      <c r="D209" t="str">
        <f>_xlfn.XLOOKUP(Table2[[#This Row],[Female_ID ]],'19-20_female_cohort'!I:I,'19-20_female_cohort'!H:H, "No Match")</f>
        <v>2018/2019</v>
      </c>
      <c r="E209">
        <v>1</v>
      </c>
      <c r="F209" s="11">
        <v>43812</v>
      </c>
      <c r="G209">
        <f>_xlfn.XLOOKUP(Table2[[#This Row],[First_egg_lay_date]],'19-20_niwa_temp_data'!B:B,'19-20_niwa_temp_data'!G:G, "No Match")</f>
        <v>18.30901417335188</v>
      </c>
      <c r="H209">
        <v>3</v>
      </c>
      <c r="I209" s="11">
        <v>43814</v>
      </c>
      <c r="J209">
        <f>_xlfn.XLOOKUP(Table2[[#This Row],[Nest_box_ID]],Sheet1!A:A,Sheet1!L:L, "No Match")</f>
        <v>0</v>
      </c>
      <c r="K209" s="11">
        <v>43828</v>
      </c>
      <c r="L209">
        <f>_xlfn.XLOOKUP(Table2[[#This Row],[Nest_box_ID]],Sheet1!A:A,Sheet1!K:K, "No Match")</f>
        <v>14</v>
      </c>
      <c r="M209" s="11">
        <v>43816</v>
      </c>
      <c r="N209" s="16">
        <v>0.62497685185185181</v>
      </c>
      <c r="O209">
        <v>1</v>
      </c>
      <c r="P209">
        <v>42</v>
      </c>
      <c r="Q209" t="s">
        <v>320</v>
      </c>
      <c r="R209">
        <v>433.00000000000693</v>
      </c>
      <c r="S209">
        <f>_xlfn.XLOOKUP(Table2[[#This Row],[Obs_date]],'19-20_niwa_temp_data'!B:B,'19-20_niwa_temp_data'!G:G, "N/A")</f>
        <v>17.491998170592176</v>
      </c>
      <c r="T209">
        <f>_xlfn.XLOOKUP(Table2[[#This Row],[First_egg_lay_date]],'19-20_niwa_temp_data'!B:B,'19-20_niwa_temp_data'!G:G, "No Match")</f>
        <v>18.30901417335188</v>
      </c>
    </row>
    <row r="210" spans="1:20" x14ac:dyDescent="0.35">
      <c r="A210" t="s">
        <v>9</v>
      </c>
      <c r="B210" t="s">
        <v>92</v>
      </c>
      <c r="C210" s="3" t="s">
        <v>176</v>
      </c>
      <c r="D210" t="str">
        <f>_xlfn.XLOOKUP(Table2[[#This Row],[Female_ID ]],'19-20_female_cohort'!I:I,'19-20_female_cohort'!H:H, "No Match")</f>
        <v>2018/2019</v>
      </c>
      <c r="E210">
        <v>1</v>
      </c>
      <c r="F210" s="11">
        <v>43812</v>
      </c>
      <c r="G210">
        <f>_xlfn.XLOOKUP(Table2[[#This Row],[First_egg_lay_date]],'19-20_niwa_temp_data'!B:B,'19-20_niwa_temp_data'!G:G, "No Match")</f>
        <v>18.30901417335188</v>
      </c>
      <c r="H210">
        <v>3</v>
      </c>
      <c r="I210" s="11">
        <v>43814</v>
      </c>
      <c r="J210">
        <f>_xlfn.XLOOKUP(Table2[[#This Row],[Nest_box_ID]],Sheet1!A:A,Sheet1!L:L, "No Match")</f>
        <v>0</v>
      </c>
      <c r="K210" s="11">
        <v>43828</v>
      </c>
      <c r="L210">
        <f>_xlfn.XLOOKUP(Table2[[#This Row],[Nest_box_ID]],Sheet1!A:A,Sheet1!K:K, "No Match")</f>
        <v>14</v>
      </c>
      <c r="M210" s="11">
        <v>43816</v>
      </c>
      <c r="N210" s="16">
        <v>0.62998842592592597</v>
      </c>
      <c r="O210">
        <v>1</v>
      </c>
      <c r="P210">
        <v>42</v>
      </c>
      <c r="Q210" t="s">
        <v>319</v>
      </c>
      <c r="R210">
        <v>295.99999999999193</v>
      </c>
      <c r="S210">
        <f>_xlfn.XLOOKUP(Table2[[#This Row],[Obs_date]],'19-20_niwa_temp_data'!B:B,'19-20_niwa_temp_data'!G:G, "N/A")</f>
        <v>17.491998170592176</v>
      </c>
      <c r="T210">
        <f>_xlfn.XLOOKUP(Table2[[#This Row],[First_egg_lay_date]],'19-20_niwa_temp_data'!B:B,'19-20_niwa_temp_data'!G:G, "No Match")</f>
        <v>18.30901417335188</v>
      </c>
    </row>
    <row r="211" spans="1:20" hidden="1" x14ac:dyDescent="0.35">
      <c r="A211" t="s">
        <v>9</v>
      </c>
      <c r="B211" t="s">
        <v>92</v>
      </c>
      <c r="C211" s="3" t="s">
        <v>176</v>
      </c>
      <c r="D211" t="str">
        <f>_xlfn.XLOOKUP(Table2[[#This Row],[Female_ID ]],'19-20_female_cohort'!I:I,'19-20_female_cohort'!H:H, "No Match")</f>
        <v>2018/2019</v>
      </c>
      <c r="E211">
        <v>1</v>
      </c>
      <c r="F211" s="11">
        <v>43812</v>
      </c>
      <c r="G211">
        <f>_xlfn.XLOOKUP(Table2[[#This Row],[First_egg_lay_date]],'19-20_niwa_temp_data'!B:B,'19-20_niwa_temp_data'!G:G, "No Match")</f>
        <v>18.30901417335188</v>
      </c>
      <c r="H211">
        <v>3</v>
      </c>
      <c r="I211" s="11">
        <v>43814</v>
      </c>
      <c r="J211">
        <f>_xlfn.XLOOKUP(Table2[[#This Row],[Nest_box_ID]],Sheet1!A:A,Sheet1!L:L, "No Match")</f>
        <v>0</v>
      </c>
      <c r="K211" s="11">
        <v>43828</v>
      </c>
      <c r="L211">
        <f>_xlfn.XLOOKUP(Table2[[#This Row],[Nest_box_ID]],Sheet1!A:A,Sheet1!K:K, "No Match")</f>
        <v>14</v>
      </c>
      <c r="M211" s="11">
        <v>43816</v>
      </c>
      <c r="N211" s="16">
        <v>0.6334143518518518</v>
      </c>
      <c r="O211">
        <v>1</v>
      </c>
      <c r="P211">
        <v>42</v>
      </c>
      <c r="Q211" t="s">
        <v>320</v>
      </c>
      <c r="R211" t="s">
        <v>254</v>
      </c>
      <c r="S211">
        <f>_xlfn.XLOOKUP(Table2[[#This Row],[Obs_date]],'19-20_niwa_temp_data'!B:B,'19-20_niwa_temp_data'!G:G, "N/A")</f>
        <v>17.491998170592176</v>
      </c>
      <c r="T211">
        <f>_xlfn.XLOOKUP(Table2[[#This Row],[First_egg_lay_date]],'19-20_niwa_temp_data'!B:B,'19-20_niwa_temp_data'!G:G, "No Match")</f>
        <v>18.30901417335188</v>
      </c>
    </row>
    <row r="212" spans="1:20" hidden="1" x14ac:dyDescent="0.35">
      <c r="A212" t="s">
        <v>9</v>
      </c>
      <c r="B212" t="s">
        <v>57</v>
      </c>
      <c r="C212" s="3" t="s">
        <v>146</v>
      </c>
      <c r="D212" t="str">
        <f>_xlfn.XLOOKUP(Table2[[#This Row],[Female_ID ]],'19-20_female_cohort'!I:I,'19-20_female_cohort'!H:H, "No Match")</f>
        <v>2018/2019</v>
      </c>
      <c r="E212">
        <v>1</v>
      </c>
      <c r="F212" s="11">
        <v>43791</v>
      </c>
      <c r="G212">
        <f>_xlfn.XLOOKUP(Table2[[#This Row],[First_egg_lay_date]],'19-20_niwa_temp_data'!B:B,'19-20_niwa_temp_data'!G:G, "No Match")</f>
        <v>14.404166064024672</v>
      </c>
      <c r="H212">
        <v>4</v>
      </c>
      <c r="I212" s="11">
        <v>43795</v>
      </c>
      <c r="J212">
        <f>_xlfn.XLOOKUP(Table2[[#This Row],[Nest_box_ID]],Sheet1!A:A,Sheet1!L:L, "No Match")</f>
        <v>1</v>
      </c>
      <c r="K212" s="11" t="s">
        <v>254</v>
      </c>
      <c r="L212" t="str">
        <f>_xlfn.XLOOKUP(Table2[[#This Row],[Nest_box_ID]],Sheet1!A:A,Sheet1!K:K, "No Match")</f>
        <v>N/A</v>
      </c>
      <c r="M212" s="11">
        <v>43796</v>
      </c>
      <c r="N212" s="16">
        <v>0.53070601851851851</v>
      </c>
      <c r="O212">
        <v>1</v>
      </c>
      <c r="P212">
        <v>62</v>
      </c>
      <c r="Q212" t="s">
        <v>319</v>
      </c>
      <c r="R212">
        <v>328</v>
      </c>
      <c r="S212">
        <f>_xlfn.XLOOKUP(Table2[[#This Row],[Obs_date]],'19-20_niwa_temp_data'!B:B,'19-20_niwa_temp_data'!G:G, "N/A")</f>
        <v>17.287857010051884</v>
      </c>
      <c r="T212">
        <f>_xlfn.XLOOKUP(Table2[[#This Row],[First_egg_lay_date]],'19-20_niwa_temp_data'!B:B,'19-20_niwa_temp_data'!G:G, "No Match")</f>
        <v>14.404166064024672</v>
      </c>
    </row>
    <row r="213" spans="1:20" hidden="1" x14ac:dyDescent="0.35">
      <c r="A213" t="s">
        <v>9</v>
      </c>
      <c r="B213" t="s">
        <v>57</v>
      </c>
      <c r="C213" s="3" t="s">
        <v>146</v>
      </c>
      <c r="D213" t="str">
        <f>_xlfn.XLOOKUP(Table2[[#This Row],[Female_ID ]],'19-20_female_cohort'!I:I,'19-20_female_cohort'!H:H, "No Match")</f>
        <v>2018/2019</v>
      </c>
      <c r="E213">
        <v>1</v>
      </c>
      <c r="F213" s="11">
        <v>43791</v>
      </c>
      <c r="G213">
        <f>_xlfn.XLOOKUP(Table2[[#This Row],[First_egg_lay_date]],'19-20_niwa_temp_data'!B:B,'19-20_niwa_temp_data'!G:G, "No Match")</f>
        <v>14.404166064024672</v>
      </c>
      <c r="H213">
        <v>4</v>
      </c>
      <c r="I213" s="11">
        <v>43795</v>
      </c>
      <c r="J213">
        <f>_xlfn.XLOOKUP(Table2[[#This Row],[Nest_box_ID]],Sheet1!A:A,Sheet1!L:L, "No Match")</f>
        <v>1</v>
      </c>
      <c r="K213" s="11" t="s">
        <v>254</v>
      </c>
      <c r="L213" t="str">
        <f>_xlfn.XLOOKUP(Table2[[#This Row],[Nest_box_ID]],Sheet1!A:A,Sheet1!K:K, "No Match")</f>
        <v>N/A</v>
      </c>
      <c r="M213" s="11">
        <v>43796</v>
      </c>
      <c r="N213" s="16">
        <v>0.53450231481481481</v>
      </c>
      <c r="O213">
        <v>1</v>
      </c>
      <c r="P213">
        <v>62</v>
      </c>
      <c r="Q213" t="s">
        <v>320</v>
      </c>
      <c r="R213">
        <v>211</v>
      </c>
      <c r="S213">
        <f>_xlfn.XLOOKUP(Table2[[#This Row],[Obs_date]],'19-20_niwa_temp_data'!B:B,'19-20_niwa_temp_data'!G:G, "N/A")</f>
        <v>17.287857010051884</v>
      </c>
      <c r="T213">
        <f>_xlfn.XLOOKUP(Table2[[#This Row],[First_egg_lay_date]],'19-20_niwa_temp_data'!B:B,'19-20_niwa_temp_data'!G:G, "No Match")</f>
        <v>14.404166064024672</v>
      </c>
    </row>
    <row r="214" spans="1:20" hidden="1" x14ac:dyDescent="0.35">
      <c r="A214" t="s">
        <v>9</v>
      </c>
      <c r="B214" t="s">
        <v>57</v>
      </c>
      <c r="C214" s="3" t="s">
        <v>146</v>
      </c>
      <c r="D214" t="str">
        <f>_xlfn.XLOOKUP(Table2[[#This Row],[Female_ID ]],'19-20_female_cohort'!I:I,'19-20_female_cohort'!H:H, "No Match")</f>
        <v>2018/2019</v>
      </c>
      <c r="E214">
        <v>1</v>
      </c>
      <c r="F214" s="11">
        <v>43791</v>
      </c>
      <c r="G214">
        <f>_xlfn.XLOOKUP(Table2[[#This Row],[First_egg_lay_date]],'19-20_niwa_temp_data'!B:B,'19-20_niwa_temp_data'!G:G, "No Match")</f>
        <v>14.404166064024672</v>
      </c>
      <c r="H214">
        <v>4</v>
      </c>
      <c r="I214" s="11">
        <v>43795</v>
      </c>
      <c r="J214">
        <f>_xlfn.XLOOKUP(Table2[[#This Row],[Nest_box_ID]],Sheet1!A:A,Sheet1!L:L, "No Match")</f>
        <v>1</v>
      </c>
      <c r="K214" s="11" t="s">
        <v>254</v>
      </c>
      <c r="L214" t="str">
        <f>_xlfn.XLOOKUP(Table2[[#This Row],[Nest_box_ID]],Sheet1!A:A,Sheet1!K:K, "No Match")</f>
        <v>N/A</v>
      </c>
      <c r="M214" s="11">
        <v>43796</v>
      </c>
      <c r="N214" s="16">
        <v>0.53694444444444445</v>
      </c>
      <c r="O214">
        <v>1</v>
      </c>
      <c r="P214">
        <v>62</v>
      </c>
      <c r="Q214" t="s">
        <v>319</v>
      </c>
      <c r="R214">
        <v>25</v>
      </c>
      <c r="S214">
        <f>_xlfn.XLOOKUP(Table2[[#This Row],[Obs_date]],'19-20_niwa_temp_data'!B:B,'19-20_niwa_temp_data'!G:G, "N/A")</f>
        <v>17.287857010051884</v>
      </c>
      <c r="T214">
        <f>_xlfn.XLOOKUP(Table2[[#This Row],[First_egg_lay_date]],'19-20_niwa_temp_data'!B:B,'19-20_niwa_temp_data'!G:G, "No Match")</f>
        <v>14.404166064024672</v>
      </c>
    </row>
    <row r="215" spans="1:20" hidden="1" x14ac:dyDescent="0.35">
      <c r="A215" t="s">
        <v>9</v>
      </c>
      <c r="B215" t="s">
        <v>57</v>
      </c>
      <c r="C215" s="3" t="s">
        <v>146</v>
      </c>
      <c r="D215" t="str">
        <f>_xlfn.XLOOKUP(Table2[[#This Row],[Female_ID ]],'19-20_female_cohort'!I:I,'19-20_female_cohort'!H:H, "No Match")</f>
        <v>2018/2019</v>
      </c>
      <c r="E215">
        <v>1</v>
      </c>
      <c r="F215" s="11">
        <v>43791</v>
      </c>
      <c r="G215">
        <f>_xlfn.XLOOKUP(Table2[[#This Row],[First_egg_lay_date]],'19-20_niwa_temp_data'!B:B,'19-20_niwa_temp_data'!G:G, "No Match")</f>
        <v>14.404166064024672</v>
      </c>
      <c r="H215">
        <v>4</v>
      </c>
      <c r="I215" s="11">
        <v>43795</v>
      </c>
      <c r="J215">
        <f>_xlfn.XLOOKUP(Table2[[#This Row],[Nest_box_ID]],Sheet1!A:A,Sheet1!L:L, "No Match")</f>
        <v>1</v>
      </c>
      <c r="K215" s="11" t="s">
        <v>254</v>
      </c>
      <c r="L215" t="str">
        <f>_xlfn.XLOOKUP(Table2[[#This Row],[Nest_box_ID]],Sheet1!A:A,Sheet1!K:K, "No Match")</f>
        <v>N/A</v>
      </c>
      <c r="M215" s="11">
        <v>43796</v>
      </c>
      <c r="N215" s="16">
        <v>0.53723379629629631</v>
      </c>
      <c r="O215">
        <v>1</v>
      </c>
      <c r="P215">
        <v>62</v>
      </c>
      <c r="Q215" t="s">
        <v>320</v>
      </c>
      <c r="R215">
        <v>207</v>
      </c>
      <c r="S215">
        <f>_xlfn.XLOOKUP(Table2[[#This Row],[Obs_date]],'19-20_niwa_temp_data'!B:B,'19-20_niwa_temp_data'!G:G, "N/A")</f>
        <v>17.287857010051884</v>
      </c>
      <c r="T215">
        <f>_xlfn.XLOOKUP(Table2[[#This Row],[First_egg_lay_date]],'19-20_niwa_temp_data'!B:B,'19-20_niwa_temp_data'!G:G, "No Match")</f>
        <v>14.404166064024672</v>
      </c>
    </row>
    <row r="216" spans="1:20" hidden="1" x14ac:dyDescent="0.35">
      <c r="A216" t="s">
        <v>9</v>
      </c>
      <c r="B216" t="s">
        <v>57</v>
      </c>
      <c r="C216" s="3" t="s">
        <v>146</v>
      </c>
      <c r="D216" t="str">
        <f>_xlfn.XLOOKUP(Table2[[#This Row],[Female_ID ]],'19-20_female_cohort'!I:I,'19-20_female_cohort'!H:H, "No Match")</f>
        <v>2018/2019</v>
      </c>
      <c r="E216">
        <v>1</v>
      </c>
      <c r="F216" s="11">
        <v>43791</v>
      </c>
      <c r="G216">
        <f>_xlfn.XLOOKUP(Table2[[#This Row],[First_egg_lay_date]],'19-20_niwa_temp_data'!B:B,'19-20_niwa_temp_data'!G:G, "No Match")</f>
        <v>14.404166064024672</v>
      </c>
      <c r="H216">
        <v>4</v>
      </c>
      <c r="I216" s="11">
        <v>43795</v>
      </c>
      <c r="J216">
        <f>_xlfn.XLOOKUP(Table2[[#This Row],[Nest_box_ID]],Sheet1!A:A,Sheet1!L:L, "No Match")</f>
        <v>1</v>
      </c>
      <c r="K216" s="11" t="s">
        <v>254</v>
      </c>
      <c r="L216" t="str">
        <f>_xlfn.XLOOKUP(Table2[[#This Row],[Nest_box_ID]],Sheet1!A:A,Sheet1!K:K, "No Match")</f>
        <v>N/A</v>
      </c>
      <c r="M216" s="11">
        <v>43796</v>
      </c>
      <c r="N216" s="16">
        <v>0.53962962962962968</v>
      </c>
      <c r="O216">
        <v>1</v>
      </c>
      <c r="P216">
        <v>62</v>
      </c>
      <c r="Q216" t="s">
        <v>320</v>
      </c>
      <c r="R216">
        <v>684</v>
      </c>
      <c r="S216">
        <f>_xlfn.XLOOKUP(Table2[[#This Row],[Obs_date]],'19-20_niwa_temp_data'!B:B,'19-20_niwa_temp_data'!G:G, "N/A")</f>
        <v>17.287857010051884</v>
      </c>
      <c r="T216">
        <f>_xlfn.XLOOKUP(Table2[[#This Row],[First_egg_lay_date]],'19-20_niwa_temp_data'!B:B,'19-20_niwa_temp_data'!G:G, "No Match")</f>
        <v>14.404166064024672</v>
      </c>
    </row>
    <row r="217" spans="1:20" hidden="1" x14ac:dyDescent="0.35">
      <c r="A217" t="s">
        <v>9</v>
      </c>
      <c r="B217" t="s">
        <v>57</v>
      </c>
      <c r="C217" s="3" t="s">
        <v>146</v>
      </c>
      <c r="D217" t="str">
        <f>_xlfn.XLOOKUP(Table2[[#This Row],[Female_ID ]],'19-20_female_cohort'!I:I,'19-20_female_cohort'!H:H, "No Match")</f>
        <v>2018/2019</v>
      </c>
      <c r="E217">
        <v>1</v>
      </c>
      <c r="F217" s="11">
        <v>43791</v>
      </c>
      <c r="G217">
        <f>_xlfn.XLOOKUP(Table2[[#This Row],[First_egg_lay_date]],'19-20_niwa_temp_data'!B:B,'19-20_niwa_temp_data'!G:G, "No Match")</f>
        <v>14.404166064024672</v>
      </c>
      <c r="H217">
        <v>4</v>
      </c>
      <c r="I217" s="11">
        <v>43795</v>
      </c>
      <c r="J217">
        <f>_xlfn.XLOOKUP(Table2[[#This Row],[Nest_box_ID]],Sheet1!A:A,Sheet1!L:L, "No Match")</f>
        <v>1</v>
      </c>
      <c r="K217" s="11" t="s">
        <v>254</v>
      </c>
      <c r="L217" t="str">
        <f>_xlfn.XLOOKUP(Table2[[#This Row],[Nest_box_ID]],Sheet1!A:A,Sheet1!K:K, "No Match")</f>
        <v>N/A</v>
      </c>
      <c r="M217" s="11">
        <v>43796</v>
      </c>
      <c r="N217" s="16">
        <v>0.54754629629629625</v>
      </c>
      <c r="O217">
        <v>1</v>
      </c>
      <c r="P217">
        <v>62</v>
      </c>
      <c r="Q217" t="s">
        <v>320</v>
      </c>
      <c r="R217">
        <v>485</v>
      </c>
      <c r="S217">
        <f>_xlfn.XLOOKUP(Table2[[#This Row],[Obs_date]],'19-20_niwa_temp_data'!B:B,'19-20_niwa_temp_data'!G:G, "N/A")</f>
        <v>17.287857010051884</v>
      </c>
      <c r="T217">
        <f>_xlfn.XLOOKUP(Table2[[#This Row],[First_egg_lay_date]],'19-20_niwa_temp_data'!B:B,'19-20_niwa_temp_data'!G:G, "No Match")</f>
        <v>14.404166064024672</v>
      </c>
    </row>
    <row r="218" spans="1:20" hidden="1" x14ac:dyDescent="0.35">
      <c r="A218" t="s">
        <v>9</v>
      </c>
      <c r="B218" t="s">
        <v>57</v>
      </c>
      <c r="C218" s="3" t="s">
        <v>146</v>
      </c>
      <c r="D218" t="str">
        <f>_xlfn.XLOOKUP(Table2[[#This Row],[Female_ID ]],'19-20_female_cohort'!I:I,'19-20_female_cohort'!H:H, "No Match")</f>
        <v>2018/2019</v>
      </c>
      <c r="E218">
        <v>1</v>
      </c>
      <c r="F218" s="11">
        <v>43791</v>
      </c>
      <c r="G218">
        <f>_xlfn.XLOOKUP(Table2[[#This Row],[First_egg_lay_date]],'19-20_niwa_temp_data'!B:B,'19-20_niwa_temp_data'!G:G, "No Match")</f>
        <v>14.404166064024672</v>
      </c>
      <c r="H218">
        <v>4</v>
      </c>
      <c r="I218" s="11">
        <v>43795</v>
      </c>
      <c r="J218">
        <f>_xlfn.XLOOKUP(Table2[[#This Row],[Nest_box_ID]],Sheet1!A:A,Sheet1!L:L, "No Match")</f>
        <v>1</v>
      </c>
      <c r="K218" s="11" t="s">
        <v>254</v>
      </c>
      <c r="L218" t="str">
        <f>_xlfn.XLOOKUP(Table2[[#This Row],[Nest_box_ID]],Sheet1!A:A,Sheet1!K:K, "No Match")</f>
        <v>N/A</v>
      </c>
      <c r="M218" s="11">
        <v>43796</v>
      </c>
      <c r="N218" s="16">
        <v>0.55315972222222221</v>
      </c>
      <c r="O218">
        <v>1</v>
      </c>
      <c r="P218">
        <v>62</v>
      </c>
      <c r="Q218" t="s">
        <v>319</v>
      </c>
      <c r="R218">
        <v>37</v>
      </c>
      <c r="S218">
        <f>_xlfn.XLOOKUP(Table2[[#This Row],[Obs_date]],'19-20_niwa_temp_data'!B:B,'19-20_niwa_temp_data'!G:G, "N/A")</f>
        <v>17.287857010051884</v>
      </c>
      <c r="T218">
        <f>_xlfn.XLOOKUP(Table2[[#This Row],[First_egg_lay_date]],'19-20_niwa_temp_data'!B:B,'19-20_niwa_temp_data'!G:G, "No Match")</f>
        <v>14.404166064024672</v>
      </c>
    </row>
    <row r="219" spans="1:20" hidden="1" x14ac:dyDescent="0.35">
      <c r="A219" t="s">
        <v>9</v>
      </c>
      <c r="B219" t="s">
        <v>57</v>
      </c>
      <c r="C219" s="3" t="s">
        <v>146</v>
      </c>
      <c r="D219" t="str">
        <f>_xlfn.XLOOKUP(Table2[[#This Row],[Female_ID ]],'19-20_female_cohort'!I:I,'19-20_female_cohort'!H:H, "No Match")</f>
        <v>2018/2019</v>
      </c>
      <c r="E219">
        <v>1</v>
      </c>
      <c r="F219" s="11">
        <v>43791</v>
      </c>
      <c r="G219">
        <f>_xlfn.XLOOKUP(Table2[[#This Row],[First_egg_lay_date]],'19-20_niwa_temp_data'!B:B,'19-20_niwa_temp_data'!G:G, "No Match")</f>
        <v>14.404166064024672</v>
      </c>
      <c r="H219">
        <v>4</v>
      </c>
      <c r="I219" s="11">
        <v>43795</v>
      </c>
      <c r="J219">
        <f>_xlfn.XLOOKUP(Table2[[#This Row],[Nest_box_ID]],Sheet1!A:A,Sheet1!L:L, "No Match")</f>
        <v>1</v>
      </c>
      <c r="K219" s="11" t="s">
        <v>254</v>
      </c>
      <c r="L219" t="str">
        <f>_xlfn.XLOOKUP(Table2[[#This Row],[Nest_box_ID]],Sheet1!A:A,Sheet1!K:K, "No Match")</f>
        <v>N/A</v>
      </c>
      <c r="M219" s="11">
        <v>43796</v>
      </c>
      <c r="N219" s="16">
        <v>0.55358796296296298</v>
      </c>
      <c r="O219">
        <v>1</v>
      </c>
      <c r="P219">
        <v>62</v>
      </c>
      <c r="Q219" t="s">
        <v>320</v>
      </c>
      <c r="R219">
        <v>176</v>
      </c>
      <c r="S219">
        <f>_xlfn.XLOOKUP(Table2[[#This Row],[Obs_date]],'19-20_niwa_temp_data'!B:B,'19-20_niwa_temp_data'!G:G, "N/A")</f>
        <v>17.287857010051884</v>
      </c>
      <c r="T219">
        <f>_xlfn.XLOOKUP(Table2[[#This Row],[First_egg_lay_date]],'19-20_niwa_temp_data'!B:B,'19-20_niwa_temp_data'!G:G, "No Match")</f>
        <v>14.404166064024672</v>
      </c>
    </row>
    <row r="220" spans="1:20" hidden="1" x14ac:dyDescent="0.35">
      <c r="A220" t="s">
        <v>9</v>
      </c>
      <c r="B220" t="s">
        <v>57</v>
      </c>
      <c r="C220" s="3" t="s">
        <v>146</v>
      </c>
      <c r="D220" t="str">
        <f>_xlfn.XLOOKUP(Table2[[#This Row],[Female_ID ]],'19-20_female_cohort'!I:I,'19-20_female_cohort'!H:H, "No Match")</f>
        <v>2018/2019</v>
      </c>
      <c r="E220">
        <v>1</v>
      </c>
      <c r="F220" s="11">
        <v>43791</v>
      </c>
      <c r="G220">
        <f>_xlfn.XLOOKUP(Table2[[#This Row],[First_egg_lay_date]],'19-20_niwa_temp_data'!B:B,'19-20_niwa_temp_data'!G:G, "No Match")</f>
        <v>14.404166064024672</v>
      </c>
      <c r="H220">
        <v>4</v>
      </c>
      <c r="I220" s="11">
        <v>43795</v>
      </c>
      <c r="J220">
        <f>_xlfn.XLOOKUP(Table2[[#This Row],[Nest_box_ID]],Sheet1!A:A,Sheet1!L:L, "No Match")</f>
        <v>1</v>
      </c>
      <c r="K220" s="11" t="s">
        <v>254</v>
      </c>
      <c r="L220" t="str">
        <f>_xlfn.XLOOKUP(Table2[[#This Row],[Nest_box_ID]],Sheet1!A:A,Sheet1!K:K, "No Match")</f>
        <v>N/A</v>
      </c>
      <c r="M220" s="11">
        <v>43796</v>
      </c>
      <c r="N220" s="16">
        <v>0.55562500000000004</v>
      </c>
      <c r="O220">
        <v>1</v>
      </c>
      <c r="P220">
        <v>62</v>
      </c>
      <c r="Q220" t="s">
        <v>319</v>
      </c>
      <c r="R220">
        <v>154</v>
      </c>
      <c r="S220">
        <f>_xlfn.XLOOKUP(Table2[[#This Row],[Obs_date]],'19-20_niwa_temp_data'!B:B,'19-20_niwa_temp_data'!G:G, "N/A")</f>
        <v>17.287857010051884</v>
      </c>
      <c r="T220">
        <f>_xlfn.XLOOKUP(Table2[[#This Row],[First_egg_lay_date]],'19-20_niwa_temp_data'!B:B,'19-20_niwa_temp_data'!G:G, "No Match")</f>
        <v>14.404166064024672</v>
      </c>
    </row>
    <row r="221" spans="1:20" hidden="1" x14ac:dyDescent="0.35">
      <c r="A221" t="s">
        <v>9</v>
      </c>
      <c r="B221" t="s">
        <v>57</v>
      </c>
      <c r="C221" s="3" t="s">
        <v>146</v>
      </c>
      <c r="D221" t="str">
        <f>_xlfn.XLOOKUP(Table2[[#This Row],[Female_ID ]],'19-20_female_cohort'!I:I,'19-20_female_cohort'!H:H, "No Match")</f>
        <v>2018/2019</v>
      </c>
      <c r="E221">
        <v>1</v>
      </c>
      <c r="F221" s="11">
        <v>43791</v>
      </c>
      <c r="G221">
        <f>_xlfn.XLOOKUP(Table2[[#This Row],[First_egg_lay_date]],'19-20_niwa_temp_data'!B:B,'19-20_niwa_temp_data'!G:G, "No Match")</f>
        <v>14.404166064024672</v>
      </c>
      <c r="H221">
        <v>4</v>
      </c>
      <c r="I221" s="11">
        <v>43795</v>
      </c>
      <c r="J221">
        <f>_xlfn.XLOOKUP(Table2[[#This Row],[Nest_box_ID]],Sheet1!A:A,Sheet1!L:L, "No Match")</f>
        <v>1</v>
      </c>
      <c r="K221" s="11" t="s">
        <v>254</v>
      </c>
      <c r="L221" t="str">
        <f>_xlfn.XLOOKUP(Table2[[#This Row],[Nest_box_ID]],Sheet1!A:A,Sheet1!K:K, "No Match")</f>
        <v>N/A</v>
      </c>
      <c r="M221" s="11">
        <v>43796</v>
      </c>
      <c r="N221" s="16">
        <v>0.55740740740740746</v>
      </c>
      <c r="O221">
        <v>1</v>
      </c>
      <c r="P221">
        <v>62</v>
      </c>
      <c r="Q221" t="s">
        <v>320</v>
      </c>
      <c r="R221">
        <v>253</v>
      </c>
      <c r="S221">
        <f>_xlfn.XLOOKUP(Table2[[#This Row],[Obs_date]],'19-20_niwa_temp_data'!B:B,'19-20_niwa_temp_data'!G:G, "N/A")</f>
        <v>17.287857010051884</v>
      </c>
      <c r="T221">
        <f>_xlfn.XLOOKUP(Table2[[#This Row],[First_egg_lay_date]],'19-20_niwa_temp_data'!B:B,'19-20_niwa_temp_data'!G:G, "No Match")</f>
        <v>14.404166064024672</v>
      </c>
    </row>
    <row r="222" spans="1:20" hidden="1" x14ac:dyDescent="0.35">
      <c r="A222" t="s">
        <v>9</v>
      </c>
      <c r="B222" t="s">
        <v>57</v>
      </c>
      <c r="C222" s="3" t="s">
        <v>146</v>
      </c>
      <c r="D222" t="str">
        <f>_xlfn.XLOOKUP(Table2[[#This Row],[Female_ID ]],'19-20_female_cohort'!I:I,'19-20_female_cohort'!H:H, "No Match")</f>
        <v>2018/2019</v>
      </c>
      <c r="E222">
        <v>1</v>
      </c>
      <c r="F222" s="11">
        <v>43791</v>
      </c>
      <c r="G222">
        <f>_xlfn.XLOOKUP(Table2[[#This Row],[First_egg_lay_date]],'19-20_niwa_temp_data'!B:B,'19-20_niwa_temp_data'!G:G, "No Match")</f>
        <v>14.404166064024672</v>
      </c>
      <c r="H222">
        <v>4</v>
      </c>
      <c r="I222" s="11">
        <v>43795</v>
      </c>
      <c r="J222">
        <f>_xlfn.XLOOKUP(Table2[[#This Row],[Nest_box_ID]],Sheet1!A:A,Sheet1!L:L, "No Match")</f>
        <v>1</v>
      </c>
      <c r="K222" s="11" t="s">
        <v>254</v>
      </c>
      <c r="L222" t="str">
        <f>_xlfn.XLOOKUP(Table2[[#This Row],[Nest_box_ID]],Sheet1!A:A,Sheet1!K:K, "No Match")</f>
        <v>N/A</v>
      </c>
      <c r="M222" s="11">
        <v>43796</v>
      </c>
      <c r="N222" s="16">
        <v>0.56033564814814818</v>
      </c>
      <c r="O222">
        <v>1</v>
      </c>
      <c r="P222">
        <v>62</v>
      </c>
      <c r="Q222" t="s">
        <v>319</v>
      </c>
      <c r="R222">
        <v>246</v>
      </c>
      <c r="S222">
        <f>_xlfn.XLOOKUP(Table2[[#This Row],[Obs_date]],'19-20_niwa_temp_data'!B:B,'19-20_niwa_temp_data'!G:G, "N/A")</f>
        <v>17.287857010051884</v>
      </c>
      <c r="T222">
        <f>_xlfn.XLOOKUP(Table2[[#This Row],[First_egg_lay_date]],'19-20_niwa_temp_data'!B:B,'19-20_niwa_temp_data'!G:G, "No Match")</f>
        <v>14.404166064024672</v>
      </c>
    </row>
    <row r="223" spans="1:20" hidden="1" x14ac:dyDescent="0.35">
      <c r="A223" t="s">
        <v>9</v>
      </c>
      <c r="B223" t="s">
        <v>57</v>
      </c>
      <c r="C223" s="3" t="s">
        <v>146</v>
      </c>
      <c r="D223" t="str">
        <f>_xlfn.XLOOKUP(Table2[[#This Row],[Female_ID ]],'19-20_female_cohort'!I:I,'19-20_female_cohort'!H:H, "No Match")</f>
        <v>2018/2019</v>
      </c>
      <c r="E223">
        <v>1</v>
      </c>
      <c r="F223" s="11">
        <v>43791</v>
      </c>
      <c r="G223">
        <f>_xlfn.XLOOKUP(Table2[[#This Row],[First_egg_lay_date]],'19-20_niwa_temp_data'!B:B,'19-20_niwa_temp_data'!G:G, "No Match")</f>
        <v>14.404166064024672</v>
      </c>
      <c r="H223">
        <v>4</v>
      </c>
      <c r="I223" s="11">
        <v>43795</v>
      </c>
      <c r="J223">
        <f>_xlfn.XLOOKUP(Table2[[#This Row],[Nest_box_ID]],Sheet1!A:A,Sheet1!L:L, "No Match")</f>
        <v>1</v>
      </c>
      <c r="K223" s="11" t="s">
        <v>254</v>
      </c>
      <c r="L223" t="str">
        <f>_xlfn.XLOOKUP(Table2[[#This Row],[Nest_box_ID]],Sheet1!A:A,Sheet1!K:K, "No Match")</f>
        <v>N/A</v>
      </c>
      <c r="M223" s="11">
        <v>43796</v>
      </c>
      <c r="N223" s="16">
        <v>0.5631828703703704</v>
      </c>
      <c r="O223">
        <v>1</v>
      </c>
      <c r="P223">
        <v>62</v>
      </c>
      <c r="Q223" t="s">
        <v>320</v>
      </c>
      <c r="R223" t="s">
        <v>254</v>
      </c>
      <c r="S223">
        <f>_xlfn.XLOOKUP(Table2[[#This Row],[Obs_date]],'19-20_niwa_temp_data'!B:B,'19-20_niwa_temp_data'!G:G, "N/A")</f>
        <v>17.287857010051884</v>
      </c>
      <c r="T223">
        <f>_xlfn.XLOOKUP(Table2[[#This Row],[First_egg_lay_date]],'19-20_niwa_temp_data'!B:B,'19-20_niwa_temp_data'!G:G, "No Match")</f>
        <v>14.404166064024672</v>
      </c>
    </row>
    <row r="224" spans="1:20" x14ac:dyDescent="0.35">
      <c r="A224" t="s">
        <v>9</v>
      </c>
      <c r="B224" t="s">
        <v>47</v>
      </c>
      <c r="C224" s="3" t="s">
        <v>136</v>
      </c>
      <c r="D224" t="str">
        <f>_xlfn.XLOOKUP(Table2[[#This Row],[Female_ID ]],'19-20_female_cohort'!I:I,'19-20_female_cohort'!H:H, "No Match")</f>
        <v>2018/2019</v>
      </c>
      <c r="E224">
        <v>1</v>
      </c>
      <c r="F224" s="11">
        <v>43781</v>
      </c>
      <c r="G224">
        <f>_xlfn.XLOOKUP(Table2[[#This Row],[First_egg_lay_date]],'19-20_niwa_temp_data'!B:B,'19-20_niwa_temp_data'!G:G, "No Match")</f>
        <v>14.342245291445828</v>
      </c>
      <c r="H224">
        <v>3</v>
      </c>
      <c r="I224" s="11">
        <v>43783</v>
      </c>
      <c r="J224">
        <f>_xlfn.XLOOKUP(Table2[[#This Row],[Nest_box_ID]],Sheet1!A:A,Sheet1!L:L, "No Match")</f>
        <v>0</v>
      </c>
      <c r="K224" s="11">
        <v>43797</v>
      </c>
      <c r="L224">
        <f>_xlfn.XLOOKUP(Table2[[#This Row],[Nest_box_ID]],Sheet1!A:A,Sheet1!K:K, "No Match")</f>
        <v>14</v>
      </c>
      <c r="M224" s="11">
        <v>43796</v>
      </c>
      <c r="N224" s="16">
        <v>0.51710648148148153</v>
      </c>
      <c r="O224">
        <v>13</v>
      </c>
      <c r="P224">
        <v>22</v>
      </c>
      <c r="Q224" t="s">
        <v>319</v>
      </c>
      <c r="R224">
        <v>294</v>
      </c>
      <c r="S224">
        <f>_xlfn.XLOOKUP(Table2[[#This Row],[Obs_date]],'19-20_niwa_temp_data'!B:B,'19-20_niwa_temp_data'!G:G, "N/A")</f>
        <v>17.287857010051884</v>
      </c>
      <c r="T224">
        <f>_xlfn.XLOOKUP(Table2[[#This Row],[First_egg_lay_date]],'19-20_niwa_temp_data'!B:B,'19-20_niwa_temp_data'!G:G, "No Match")</f>
        <v>14.342245291445828</v>
      </c>
    </row>
    <row r="225" spans="1:20" hidden="1" x14ac:dyDescent="0.35">
      <c r="A225" t="s">
        <v>9</v>
      </c>
      <c r="B225" t="s">
        <v>47</v>
      </c>
      <c r="C225" s="3" t="s">
        <v>136</v>
      </c>
      <c r="D225" t="str">
        <f>_xlfn.XLOOKUP(Table2[[#This Row],[Female_ID ]],'19-20_female_cohort'!I:I,'19-20_female_cohort'!H:H, "No Match")</f>
        <v>2018/2019</v>
      </c>
      <c r="E225">
        <v>1</v>
      </c>
      <c r="F225" s="11">
        <v>43781</v>
      </c>
      <c r="G225">
        <f>_xlfn.XLOOKUP(Table2[[#This Row],[First_egg_lay_date]],'19-20_niwa_temp_data'!B:B,'19-20_niwa_temp_data'!G:G, "No Match")</f>
        <v>14.342245291445828</v>
      </c>
      <c r="H225">
        <v>3</v>
      </c>
      <c r="I225" s="11">
        <v>43783</v>
      </c>
      <c r="J225">
        <f>_xlfn.XLOOKUP(Table2[[#This Row],[Nest_box_ID]],Sheet1!A:A,Sheet1!L:L, "No Match")</f>
        <v>0</v>
      </c>
      <c r="K225" s="11">
        <v>43797</v>
      </c>
      <c r="L225">
        <f>_xlfn.XLOOKUP(Table2[[#This Row],[Nest_box_ID]],Sheet1!A:A,Sheet1!K:K, "No Match")</f>
        <v>14</v>
      </c>
      <c r="M225" s="11">
        <v>43796</v>
      </c>
      <c r="N225" s="16">
        <v>0.52050925925925928</v>
      </c>
      <c r="O225">
        <v>13</v>
      </c>
      <c r="P225">
        <v>22</v>
      </c>
      <c r="Q225" t="s">
        <v>320</v>
      </c>
      <c r="R225">
        <v>548</v>
      </c>
      <c r="S225">
        <f>_xlfn.XLOOKUP(Table2[[#This Row],[Obs_date]],'19-20_niwa_temp_data'!B:B,'19-20_niwa_temp_data'!G:G, "N/A")</f>
        <v>17.287857010051884</v>
      </c>
      <c r="T225">
        <f>_xlfn.XLOOKUP(Table2[[#This Row],[First_egg_lay_date]],'19-20_niwa_temp_data'!B:B,'19-20_niwa_temp_data'!G:G, "No Match")</f>
        <v>14.342245291445828</v>
      </c>
    </row>
    <row r="226" spans="1:20" hidden="1" x14ac:dyDescent="0.35">
      <c r="A226" t="s">
        <v>9</v>
      </c>
      <c r="B226" t="s">
        <v>47</v>
      </c>
      <c r="C226" s="3" t="s">
        <v>136</v>
      </c>
      <c r="D226" t="str">
        <f>_xlfn.XLOOKUP(Table2[[#This Row],[Female_ID ]],'19-20_female_cohort'!I:I,'19-20_female_cohort'!H:H, "No Match")</f>
        <v>2018/2019</v>
      </c>
      <c r="E226">
        <v>1</v>
      </c>
      <c r="F226" s="11">
        <v>43781</v>
      </c>
      <c r="G226">
        <f>_xlfn.XLOOKUP(Table2[[#This Row],[First_egg_lay_date]],'19-20_niwa_temp_data'!B:B,'19-20_niwa_temp_data'!G:G, "No Match")</f>
        <v>14.342245291445828</v>
      </c>
      <c r="H226">
        <v>3</v>
      </c>
      <c r="I226" s="11">
        <v>43783</v>
      </c>
      <c r="J226">
        <f>_xlfn.XLOOKUP(Table2[[#This Row],[Nest_box_ID]],Sheet1!A:A,Sheet1!L:L, "No Match")</f>
        <v>0</v>
      </c>
      <c r="K226" s="11">
        <v>43797</v>
      </c>
      <c r="L226">
        <f>_xlfn.XLOOKUP(Table2[[#This Row],[Nest_box_ID]],Sheet1!A:A,Sheet1!K:K, "No Match")</f>
        <v>14</v>
      </c>
      <c r="M226" s="11">
        <v>43796</v>
      </c>
      <c r="N226" s="16">
        <v>0.5268518518518519</v>
      </c>
      <c r="O226">
        <v>13</v>
      </c>
      <c r="P226">
        <v>22</v>
      </c>
      <c r="Q226" t="s">
        <v>319</v>
      </c>
      <c r="R226" t="s">
        <v>254</v>
      </c>
      <c r="S226">
        <f>_xlfn.XLOOKUP(Table2[[#This Row],[Obs_date]],'19-20_niwa_temp_data'!B:B,'19-20_niwa_temp_data'!G:G, "N/A")</f>
        <v>17.287857010051884</v>
      </c>
      <c r="T226">
        <f>_xlfn.XLOOKUP(Table2[[#This Row],[First_egg_lay_date]],'19-20_niwa_temp_data'!B:B,'19-20_niwa_temp_data'!G:G, "No Match")</f>
        <v>14.342245291445828</v>
      </c>
    </row>
    <row r="227" spans="1:20" hidden="1" x14ac:dyDescent="0.35">
      <c r="A227" t="s">
        <v>9</v>
      </c>
      <c r="B227" t="s">
        <v>40</v>
      </c>
      <c r="C227" s="3" t="s">
        <v>129</v>
      </c>
      <c r="D227" t="str">
        <f>_xlfn.XLOOKUP(Table2[[#This Row],[Female_ID ]],'19-20_female_cohort'!I:I,'19-20_female_cohort'!H:H, "No Match")</f>
        <v>2018/2019</v>
      </c>
      <c r="E227">
        <v>1</v>
      </c>
      <c r="F227" s="11">
        <v>43779</v>
      </c>
      <c r="G227">
        <f>_xlfn.XLOOKUP(Table2[[#This Row],[First_egg_lay_date]],'19-20_niwa_temp_data'!B:B,'19-20_niwa_temp_data'!G:G, "No Match")</f>
        <v>17.618172436436193</v>
      </c>
      <c r="H227">
        <v>3</v>
      </c>
      <c r="I227" s="11">
        <v>43781</v>
      </c>
      <c r="J227">
        <f>_xlfn.XLOOKUP(Table2[[#This Row],[Nest_box_ID]],Sheet1!A:A,Sheet1!L:L, "No Match")</f>
        <v>0</v>
      </c>
      <c r="K227" s="11">
        <v>43796</v>
      </c>
      <c r="L227">
        <f>_xlfn.XLOOKUP(Table2[[#This Row],[Nest_box_ID]],Sheet1!A:A,Sheet1!K:K, "No Match")</f>
        <v>15</v>
      </c>
      <c r="M227" s="11">
        <v>43794</v>
      </c>
      <c r="N227" s="16">
        <v>0.42222222222222222</v>
      </c>
      <c r="O227">
        <v>13</v>
      </c>
      <c r="P227">
        <v>62</v>
      </c>
      <c r="Q227" t="s">
        <v>320</v>
      </c>
      <c r="R227">
        <v>1539</v>
      </c>
      <c r="S227">
        <f>_xlfn.XLOOKUP(Table2[[#This Row],[Obs_date]],'19-20_niwa_temp_data'!B:B,'19-20_niwa_temp_data'!G:G, "N/A")</f>
        <v>16.725429740368405</v>
      </c>
      <c r="T227">
        <f>_xlfn.XLOOKUP(Table2[[#This Row],[First_egg_lay_date]],'19-20_niwa_temp_data'!B:B,'19-20_niwa_temp_data'!G:G, "No Match")</f>
        <v>17.618172436436193</v>
      </c>
    </row>
    <row r="228" spans="1:20" x14ac:dyDescent="0.35">
      <c r="A228" t="s">
        <v>9</v>
      </c>
      <c r="B228" t="s">
        <v>40</v>
      </c>
      <c r="C228" s="3" t="s">
        <v>129</v>
      </c>
      <c r="D228" t="str">
        <f>_xlfn.XLOOKUP(Table2[[#This Row],[Female_ID ]],'19-20_female_cohort'!I:I,'19-20_female_cohort'!H:H, "No Match")</f>
        <v>2018/2019</v>
      </c>
      <c r="E228">
        <v>1</v>
      </c>
      <c r="F228" s="11">
        <v>43779</v>
      </c>
      <c r="G228">
        <f>_xlfn.XLOOKUP(Table2[[#This Row],[First_egg_lay_date]],'19-20_niwa_temp_data'!B:B,'19-20_niwa_temp_data'!G:G, "No Match")</f>
        <v>17.618172436436193</v>
      </c>
      <c r="H228">
        <v>3</v>
      </c>
      <c r="I228" s="11">
        <v>43781</v>
      </c>
      <c r="J228">
        <f>_xlfn.XLOOKUP(Table2[[#This Row],[Nest_box_ID]],Sheet1!A:A,Sheet1!L:L, "No Match")</f>
        <v>0</v>
      </c>
      <c r="K228" s="11">
        <v>43796</v>
      </c>
      <c r="L228">
        <f>_xlfn.XLOOKUP(Table2[[#This Row],[Nest_box_ID]],Sheet1!A:A,Sheet1!K:K, "No Match")</f>
        <v>15</v>
      </c>
      <c r="M228" s="11">
        <v>43794</v>
      </c>
      <c r="N228" s="16">
        <v>0.44003472222222223</v>
      </c>
      <c r="O228">
        <v>13</v>
      </c>
      <c r="P228">
        <v>62</v>
      </c>
      <c r="Q228" t="s">
        <v>319</v>
      </c>
      <c r="R228">
        <v>377</v>
      </c>
      <c r="S228">
        <f>_xlfn.XLOOKUP(Table2[[#This Row],[Obs_date]],'19-20_niwa_temp_data'!B:B,'19-20_niwa_temp_data'!G:G, "N/A")</f>
        <v>16.725429740368405</v>
      </c>
      <c r="T228">
        <f>_xlfn.XLOOKUP(Table2[[#This Row],[First_egg_lay_date]],'19-20_niwa_temp_data'!B:B,'19-20_niwa_temp_data'!G:G, "No Match")</f>
        <v>17.618172436436193</v>
      </c>
    </row>
    <row r="229" spans="1:20" hidden="1" x14ac:dyDescent="0.35">
      <c r="A229" t="s">
        <v>9</v>
      </c>
      <c r="B229" t="s">
        <v>40</v>
      </c>
      <c r="C229" s="3" t="s">
        <v>129</v>
      </c>
      <c r="D229" t="str">
        <f>_xlfn.XLOOKUP(Table2[[#This Row],[Female_ID ]],'19-20_female_cohort'!I:I,'19-20_female_cohort'!H:H, "No Match")</f>
        <v>2018/2019</v>
      </c>
      <c r="E229">
        <v>1</v>
      </c>
      <c r="F229" s="11">
        <v>43779</v>
      </c>
      <c r="G229">
        <f>_xlfn.XLOOKUP(Table2[[#This Row],[First_egg_lay_date]],'19-20_niwa_temp_data'!B:B,'19-20_niwa_temp_data'!G:G, "No Match")</f>
        <v>17.618172436436193</v>
      </c>
      <c r="H229">
        <v>3</v>
      </c>
      <c r="I229" s="11">
        <v>43781</v>
      </c>
      <c r="J229">
        <f>_xlfn.XLOOKUP(Table2[[#This Row],[Nest_box_ID]],Sheet1!A:A,Sheet1!L:L, "No Match")</f>
        <v>0</v>
      </c>
      <c r="K229" s="11">
        <v>43796</v>
      </c>
      <c r="L229">
        <f>_xlfn.XLOOKUP(Table2[[#This Row],[Nest_box_ID]],Sheet1!A:A,Sheet1!K:K, "No Match")</f>
        <v>15</v>
      </c>
      <c r="M229" s="11">
        <v>43794</v>
      </c>
      <c r="N229" s="16">
        <v>0.44439814814814815</v>
      </c>
      <c r="O229">
        <v>13</v>
      </c>
      <c r="P229">
        <v>62</v>
      </c>
      <c r="Q229" t="s">
        <v>320</v>
      </c>
      <c r="R229">
        <v>544</v>
      </c>
      <c r="S229">
        <f>_xlfn.XLOOKUP(Table2[[#This Row],[Obs_date]],'19-20_niwa_temp_data'!B:B,'19-20_niwa_temp_data'!G:G, "N/A")</f>
        <v>16.725429740368405</v>
      </c>
      <c r="T229">
        <f>_xlfn.XLOOKUP(Table2[[#This Row],[First_egg_lay_date]],'19-20_niwa_temp_data'!B:B,'19-20_niwa_temp_data'!G:G, "No Match")</f>
        <v>17.618172436436193</v>
      </c>
    </row>
    <row r="230" spans="1:20" x14ac:dyDescent="0.35">
      <c r="A230" t="s">
        <v>9</v>
      </c>
      <c r="B230" t="s">
        <v>40</v>
      </c>
      <c r="C230" s="3" t="s">
        <v>129</v>
      </c>
      <c r="D230" t="str">
        <f>_xlfn.XLOOKUP(Table2[[#This Row],[Female_ID ]],'19-20_female_cohort'!I:I,'19-20_female_cohort'!H:H, "No Match")</f>
        <v>2018/2019</v>
      </c>
      <c r="E230">
        <v>1</v>
      </c>
      <c r="F230" s="11">
        <v>43779</v>
      </c>
      <c r="G230">
        <f>_xlfn.XLOOKUP(Table2[[#This Row],[First_egg_lay_date]],'19-20_niwa_temp_data'!B:B,'19-20_niwa_temp_data'!G:G, "No Match")</f>
        <v>17.618172436436193</v>
      </c>
      <c r="H230">
        <v>3</v>
      </c>
      <c r="I230" s="11">
        <v>43781</v>
      </c>
      <c r="J230">
        <f>_xlfn.XLOOKUP(Table2[[#This Row],[Nest_box_ID]],Sheet1!A:A,Sheet1!L:L, "No Match")</f>
        <v>0</v>
      </c>
      <c r="K230" s="11">
        <v>43796</v>
      </c>
      <c r="L230">
        <f>_xlfn.XLOOKUP(Table2[[#This Row],[Nest_box_ID]],Sheet1!A:A,Sheet1!K:K, "No Match")</f>
        <v>15</v>
      </c>
      <c r="M230" s="11">
        <v>43794</v>
      </c>
      <c r="N230" s="16">
        <v>0.45069444444444445</v>
      </c>
      <c r="O230">
        <v>13</v>
      </c>
      <c r="P230">
        <v>62</v>
      </c>
      <c r="Q230" t="s">
        <v>319</v>
      </c>
      <c r="R230">
        <v>370</v>
      </c>
      <c r="S230">
        <f>_xlfn.XLOOKUP(Table2[[#This Row],[Obs_date]],'19-20_niwa_temp_data'!B:B,'19-20_niwa_temp_data'!G:G, "N/A")</f>
        <v>16.725429740368405</v>
      </c>
      <c r="T230">
        <f>_xlfn.XLOOKUP(Table2[[#This Row],[First_egg_lay_date]],'19-20_niwa_temp_data'!B:B,'19-20_niwa_temp_data'!G:G, "No Match")</f>
        <v>17.618172436436193</v>
      </c>
    </row>
    <row r="231" spans="1:20" hidden="1" x14ac:dyDescent="0.35">
      <c r="A231" t="s">
        <v>9</v>
      </c>
      <c r="B231" t="s">
        <v>40</v>
      </c>
      <c r="C231" s="3" t="s">
        <v>129</v>
      </c>
      <c r="D231" t="str">
        <f>_xlfn.XLOOKUP(Table2[[#This Row],[Female_ID ]],'19-20_female_cohort'!I:I,'19-20_female_cohort'!H:H, "No Match")</f>
        <v>2018/2019</v>
      </c>
      <c r="E231">
        <v>1</v>
      </c>
      <c r="F231" s="11">
        <v>43779</v>
      </c>
      <c r="G231">
        <f>_xlfn.XLOOKUP(Table2[[#This Row],[First_egg_lay_date]],'19-20_niwa_temp_data'!B:B,'19-20_niwa_temp_data'!G:G, "No Match")</f>
        <v>17.618172436436193</v>
      </c>
      <c r="H231">
        <v>3</v>
      </c>
      <c r="I231" s="11">
        <v>43781</v>
      </c>
      <c r="J231">
        <f>_xlfn.XLOOKUP(Table2[[#This Row],[Nest_box_ID]],Sheet1!A:A,Sheet1!L:L, "No Match")</f>
        <v>0</v>
      </c>
      <c r="K231" s="11">
        <v>43796</v>
      </c>
      <c r="L231">
        <f>_xlfn.XLOOKUP(Table2[[#This Row],[Nest_box_ID]],Sheet1!A:A,Sheet1!K:K, "No Match")</f>
        <v>15</v>
      </c>
      <c r="M231" s="11">
        <v>43794</v>
      </c>
      <c r="N231" s="16">
        <v>0.45497685185185183</v>
      </c>
      <c r="O231">
        <v>13</v>
      </c>
      <c r="P231">
        <v>62</v>
      </c>
      <c r="Q231" t="s">
        <v>320</v>
      </c>
      <c r="R231" t="s">
        <v>254</v>
      </c>
      <c r="S231">
        <f>_xlfn.XLOOKUP(Table2[[#This Row],[Obs_date]],'19-20_niwa_temp_data'!B:B,'19-20_niwa_temp_data'!G:G, "N/A")</f>
        <v>16.725429740368405</v>
      </c>
      <c r="T231">
        <f>_xlfn.XLOOKUP(Table2[[#This Row],[First_egg_lay_date]],'19-20_niwa_temp_data'!B:B,'19-20_niwa_temp_data'!G:G, "No Match")</f>
        <v>17.618172436436193</v>
      </c>
    </row>
    <row r="232" spans="1:20" x14ac:dyDescent="0.35">
      <c r="A232" t="s">
        <v>9</v>
      </c>
      <c r="B232" t="s">
        <v>73</v>
      </c>
      <c r="C232" s="3" t="s">
        <v>162</v>
      </c>
      <c r="D232" t="str">
        <f>_xlfn.XLOOKUP(Table2[[#This Row],[Female_ID ]],'19-20_female_cohort'!I:I,'19-20_female_cohort'!H:H, "No Match")</f>
        <v>2018/2019</v>
      </c>
      <c r="E232">
        <v>1</v>
      </c>
      <c r="F232" s="11">
        <v>43804</v>
      </c>
      <c r="G232">
        <f>_xlfn.XLOOKUP(Table2[[#This Row],[First_egg_lay_date]],'19-20_niwa_temp_data'!B:B,'19-20_niwa_temp_data'!G:G, "No Match")</f>
        <v>17.28930305130892</v>
      </c>
      <c r="H232">
        <v>4</v>
      </c>
      <c r="I232" s="11">
        <v>43807</v>
      </c>
      <c r="J232">
        <f>_xlfn.XLOOKUP(Table2[[#This Row],[Nest_box_ID]],Sheet1!A:A,Sheet1!L:L, "No Match")</f>
        <v>0</v>
      </c>
      <c r="K232" s="11">
        <v>43822</v>
      </c>
      <c r="L232">
        <f>_xlfn.XLOOKUP(Table2[[#This Row],[Nest_box_ID]],Sheet1!A:A,Sheet1!K:K, "No Match")</f>
        <v>15</v>
      </c>
      <c r="M232" s="11">
        <v>43808</v>
      </c>
      <c r="N232" s="16">
        <v>0.593287037037037</v>
      </c>
      <c r="O232">
        <v>1</v>
      </c>
      <c r="P232">
        <v>60</v>
      </c>
      <c r="Q232" t="s">
        <v>319</v>
      </c>
      <c r="R232">
        <v>322</v>
      </c>
      <c r="S232">
        <f>_xlfn.XLOOKUP(Table2[[#This Row],[Obs_date]],'19-20_niwa_temp_data'!B:B,'19-20_niwa_temp_data'!G:G, "N/A")</f>
        <v>17.951044537853498</v>
      </c>
      <c r="T232">
        <f>_xlfn.XLOOKUP(Table2[[#This Row],[First_egg_lay_date]],'19-20_niwa_temp_data'!B:B,'19-20_niwa_temp_data'!G:G, "No Match")</f>
        <v>17.28930305130892</v>
      </c>
    </row>
    <row r="233" spans="1:20" hidden="1" x14ac:dyDescent="0.35">
      <c r="A233" t="s">
        <v>9</v>
      </c>
      <c r="B233" t="s">
        <v>73</v>
      </c>
      <c r="C233" s="3" t="s">
        <v>162</v>
      </c>
      <c r="D233" t="str">
        <f>_xlfn.XLOOKUP(Table2[[#This Row],[Female_ID ]],'19-20_female_cohort'!I:I,'19-20_female_cohort'!H:H, "No Match")</f>
        <v>2018/2019</v>
      </c>
      <c r="E233">
        <v>1</v>
      </c>
      <c r="F233" s="11">
        <v>43804</v>
      </c>
      <c r="G233">
        <f>_xlfn.XLOOKUP(Table2[[#This Row],[First_egg_lay_date]],'19-20_niwa_temp_data'!B:B,'19-20_niwa_temp_data'!G:G, "No Match")</f>
        <v>17.28930305130892</v>
      </c>
      <c r="H233">
        <v>4</v>
      </c>
      <c r="I233" s="11">
        <v>43807</v>
      </c>
      <c r="J233">
        <f>_xlfn.XLOOKUP(Table2[[#This Row],[Nest_box_ID]],Sheet1!A:A,Sheet1!L:L, "No Match")</f>
        <v>0</v>
      </c>
      <c r="K233" s="11">
        <v>43822</v>
      </c>
      <c r="L233">
        <f>_xlfn.XLOOKUP(Table2[[#This Row],[Nest_box_ID]],Sheet1!A:A,Sheet1!K:K, "No Match")</f>
        <v>15</v>
      </c>
      <c r="M233" s="11">
        <v>43808</v>
      </c>
      <c r="N233" s="16">
        <v>0.59701388888888884</v>
      </c>
      <c r="O233">
        <v>1</v>
      </c>
      <c r="P233">
        <v>60</v>
      </c>
      <c r="Q233" t="s">
        <v>320</v>
      </c>
      <c r="R233">
        <v>349</v>
      </c>
      <c r="S233">
        <f>_xlfn.XLOOKUP(Table2[[#This Row],[Obs_date]],'19-20_niwa_temp_data'!B:B,'19-20_niwa_temp_data'!G:G, "N/A")</f>
        <v>17.951044537853498</v>
      </c>
      <c r="T233">
        <f>_xlfn.XLOOKUP(Table2[[#This Row],[First_egg_lay_date]],'19-20_niwa_temp_data'!B:B,'19-20_niwa_temp_data'!G:G, "No Match")</f>
        <v>17.28930305130892</v>
      </c>
    </row>
    <row r="234" spans="1:20" x14ac:dyDescent="0.35">
      <c r="A234" t="s">
        <v>9</v>
      </c>
      <c r="B234" t="s">
        <v>73</v>
      </c>
      <c r="C234" s="3" t="s">
        <v>162</v>
      </c>
      <c r="D234" t="str">
        <f>_xlfn.XLOOKUP(Table2[[#This Row],[Female_ID ]],'19-20_female_cohort'!I:I,'19-20_female_cohort'!H:H, "No Match")</f>
        <v>2018/2019</v>
      </c>
      <c r="E234">
        <v>1</v>
      </c>
      <c r="F234" s="11">
        <v>43804</v>
      </c>
      <c r="G234">
        <f>_xlfn.XLOOKUP(Table2[[#This Row],[First_egg_lay_date]],'19-20_niwa_temp_data'!B:B,'19-20_niwa_temp_data'!G:G, "No Match")</f>
        <v>17.28930305130892</v>
      </c>
      <c r="H234">
        <v>4</v>
      </c>
      <c r="I234" s="11">
        <v>43807</v>
      </c>
      <c r="J234">
        <f>_xlfn.XLOOKUP(Table2[[#This Row],[Nest_box_ID]],Sheet1!A:A,Sheet1!L:L, "No Match")</f>
        <v>0</v>
      </c>
      <c r="K234" s="11">
        <v>43822</v>
      </c>
      <c r="L234">
        <f>_xlfn.XLOOKUP(Table2[[#This Row],[Nest_box_ID]],Sheet1!A:A,Sheet1!K:K, "No Match")</f>
        <v>15</v>
      </c>
      <c r="M234" s="11">
        <v>43808</v>
      </c>
      <c r="N234" s="16">
        <v>0.60105324074074074</v>
      </c>
      <c r="O234">
        <v>1</v>
      </c>
      <c r="P234">
        <v>60</v>
      </c>
      <c r="Q234" t="s">
        <v>319</v>
      </c>
      <c r="R234">
        <v>304</v>
      </c>
      <c r="S234">
        <f>_xlfn.XLOOKUP(Table2[[#This Row],[Obs_date]],'19-20_niwa_temp_data'!B:B,'19-20_niwa_temp_data'!G:G, "N/A")</f>
        <v>17.951044537853498</v>
      </c>
      <c r="T234">
        <f>_xlfn.XLOOKUP(Table2[[#This Row],[First_egg_lay_date]],'19-20_niwa_temp_data'!B:B,'19-20_niwa_temp_data'!G:G, "No Match")</f>
        <v>17.28930305130892</v>
      </c>
    </row>
    <row r="235" spans="1:20" hidden="1" x14ac:dyDescent="0.35">
      <c r="A235" t="s">
        <v>9</v>
      </c>
      <c r="B235" t="s">
        <v>73</v>
      </c>
      <c r="C235" s="3" t="s">
        <v>162</v>
      </c>
      <c r="D235" t="str">
        <f>_xlfn.XLOOKUP(Table2[[#This Row],[Female_ID ]],'19-20_female_cohort'!I:I,'19-20_female_cohort'!H:H, "No Match")</f>
        <v>2018/2019</v>
      </c>
      <c r="E235">
        <v>1</v>
      </c>
      <c r="F235" s="11">
        <v>43804</v>
      </c>
      <c r="G235">
        <f>_xlfn.XLOOKUP(Table2[[#This Row],[First_egg_lay_date]],'19-20_niwa_temp_data'!B:B,'19-20_niwa_temp_data'!G:G, "No Match")</f>
        <v>17.28930305130892</v>
      </c>
      <c r="H235">
        <v>4</v>
      </c>
      <c r="I235" s="11">
        <v>43807</v>
      </c>
      <c r="J235">
        <f>_xlfn.XLOOKUP(Table2[[#This Row],[Nest_box_ID]],Sheet1!A:A,Sheet1!L:L, "No Match")</f>
        <v>0</v>
      </c>
      <c r="K235" s="11">
        <v>43822</v>
      </c>
      <c r="L235">
        <f>_xlfn.XLOOKUP(Table2[[#This Row],[Nest_box_ID]],Sheet1!A:A,Sheet1!K:K, "No Match")</f>
        <v>15</v>
      </c>
      <c r="M235" s="11">
        <v>43808</v>
      </c>
      <c r="N235" s="16">
        <v>0.60457175925925921</v>
      </c>
      <c r="O235">
        <v>1</v>
      </c>
      <c r="P235">
        <v>60</v>
      </c>
      <c r="Q235" t="s">
        <v>320</v>
      </c>
      <c r="R235">
        <v>624</v>
      </c>
      <c r="S235">
        <f>_xlfn.XLOOKUP(Table2[[#This Row],[Obs_date]],'19-20_niwa_temp_data'!B:B,'19-20_niwa_temp_data'!G:G, "N/A")</f>
        <v>17.951044537853498</v>
      </c>
      <c r="T235">
        <f>_xlfn.XLOOKUP(Table2[[#This Row],[First_egg_lay_date]],'19-20_niwa_temp_data'!B:B,'19-20_niwa_temp_data'!G:G, "No Match")</f>
        <v>17.28930305130892</v>
      </c>
    </row>
    <row r="236" spans="1:20" x14ac:dyDescent="0.35">
      <c r="A236" t="s">
        <v>9</v>
      </c>
      <c r="B236" t="s">
        <v>73</v>
      </c>
      <c r="C236" s="3" t="s">
        <v>162</v>
      </c>
      <c r="D236" t="str">
        <f>_xlfn.XLOOKUP(Table2[[#This Row],[Female_ID ]],'19-20_female_cohort'!I:I,'19-20_female_cohort'!H:H, "No Match")</f>
        <v>2018/2019</v>
      </c>
      <c r="E236">
        <v>1</v>
      </c>
      <c r="F236" s="11">
        <v>43804</v>
      </c>
      <c r="G236">
        <f>_xlfn.XLOOKUP(Table2[[#This Row],[First_egg_lay_date]],'19-20_niwa_temp_data'!B:B,'19-20_niwa_temp_data'!G:G, "No Match")</f>
        <v>17.28930305130892</v>
      </c>
      <c r="H236">
        <v>4</v>
      </c>
      <c r="I236" s="11">
        <v>43807</v>
      </c>
      <c r="J236">
        <f>_xlfn.XLOOKUP(Table2[[#This Row],[Nest_box_ID]],Sheet1!A:A,Sheet1!L:L, "No Match")</f>
        <v>0</v>
      </c>
      <c r="K236" s="11">
        <v>43822</v>
      </c>
      <c r="L236">
        <f>_xlfn.XLOOKUP(Table2[[#This Row],[Nest_box_ID]],Sheet1!A:A,Sheet1!K:K, "No Match")</f>
        <v>15</v>
      </c>
      <c r="M236" s="11">
        <v>43808</v>
      </c>
      <c r="N236" s="16">
        <v>0.61179398148148145</v>
      </c>
      <c r="O236">
        <v>1</v>
      </c>
      <c r="P236">
        <v>60</v>
      </c>
      <c r="Q236" t="s">
        <v>319</v>
      </c>
      <c r="R236">
        <v>461</v>
      </c>
      <c r="S236">
        <f>_xlfn.XLOOKUP(Table2[[#This Row],[Obs_date]],'19-20_niwa_temp_data'!B:B,'19-20_niwa_temp_data'!G:G, "N/A")</f>
        <v>17.951044537853498</v>
      </c>
      <c r="T236">
        <f>_xlfn.XLOOKUP(Table2[[#This Row],[First_egg_lay_date]],'19-20_niwa_temp_data'!B:B,'19-20_niwa_temp_data'!G:G, "No Match")</f>
        <v>17.28930305130892</v>
      </c>
    </row>
    <row r="237" spans="1:20" hidden="1" x14ac:dyDescent="0.35">
      <c r="A237" t="s">
        <v>9</v>
      </c>
      <c r="B237" t="s">
        <v>73</v>
      </c>
      <c r="C237" s="3" t="s">
        <v>162</v>
      </c>
      <c r="D237" t="str">
        <f>_xlfn.XLOOKUP(Table2[[#This Row],[Female_ID ]],'19-20_female_cohort'!I:I,'19-20_female_cohort'!H:H, "No Match")</f>
        <v>2018/2019</v>
      </c>
      <c r="E237">
        <v>1</v>
      </c>
      <c r="F237" s="11">
        <v>43804</v>
      </c>
      <c r="G237">
        <f>_xlfn.XLOOKUP(Table2[[#This Row],[First_egg_lay_date]],'19-20_niwa_temp_data'!B:B,'19-20_niwa_temp_data'!G:G, "No Match")</f>
        <v>17.28930305130892</v>
      </c>
      <c r="H237">
        <v>4</v>
      </c>
      <c r="I237" s="11">
        <v>43807</v>
      </c>
      <c r="J237">
        <f>_xlfn.XLOOKUP(Table2[[#This Row],[Nest_box_ID]],Sheet1!A:A,Sheet1!L:L, "No Match")</f>
        <v>0</v>
      </c>
      <c r="K237" s="11">
        <v>43822</v>
      </c>
      <c r="L237">
        <f>_xlfn.XLOOKUP(Table2[[#This Row],[Nest_box_ID]],Sheet1!A:A,Sheet1!K:K, "No Match")</f>
        <v>15</v>
      </c>
      <c r="M237" s="11">
        <v>43808</v>
      </c>
      <c r="N237" s="16">
        <v>0.61712962962962958</v>
      </c>
      <c r="O237">
        <v>1</v>
      </c>
      <c r="P237">
        <v>60</v>
      </c>
      <c r="Q237" t="s">
        <v>320</v>
      </c>
      <c r="R237" t="s">
        <v>254</v>
      </c>
      <c r="S237">
        <f>_xlfn.XLOOKUP(Table2[[#This Row],[Obs_date]],'19-20_niwa_temp_data'!B:B,'19-20_niwa_temp_data'!G:G, "N/A")</f>
        <v>17.951044537853498</v>
      </c>
      <c r="T237">
        <f>_xlfn.XLOOKUP(Table2[[#This Row],[First_egg_lay_date]],'19-20_niwa_temp_data'!B:B,'19-20_niwa_temp_data'!G:G, "No Match")</f>
        <v>17.28930305130892</v>
      </c>
    </row>
    <row r="238" spans="1:20" hidden="1" x14ac:dyDescent="0.35">
      <c r="A238" t="s">
        <v>9</v>
      </c>
      <c r="B238" t="s">
        <v>19</v>
      </c>
      <c r="C238" s="3" t="s">
        <v>108</v>
      </c>
      <c r="D238" t="str">
        <f>_xlfn.XLOOKUP(Table2[[#This Row],[Female_ID ]],'19-20_female_cohort'!I:I,'19-20_female_cohort'!H:H, "No Match")</f>
        <v>2014/2015</v>
      </c>
      <c r="E238">
        <v>5</v>
      </c>
      <c r="F238" s="11">
        <v>43772</v>
      </c>
      <c r="G238">
        <f>_xlfn.XLOOKUP(Table2[[#This Row],[First_egg_lay_date]],'19-20_niwa_temp_data'!B:B,'19-20_niwa_temp_data'!G:G, "No Match")</f>
        <v>14.419431334140747</v>
      </c>
      <c r="H238">
        <v>4</v>
      </c>
      <c r="I238" s="11">
        <v>43775</v>
      </c>
      <c r="J238">
        <f>_xlfn.XLOOKUP(Table2[[#This Row],[Nest_box_ID]],Sheet1!A:A,Sheet1!L:L, "No Match")</f>
        <v>0</v>
      </c>
      <c r="K238" s="11">
        <v>43789</v>
      </c>
      <c r="L238">
        <f>_xlfn.XLOOKUP(Table2[[#This Row],[Nest_box_ID]],Sheet1!A:A,Sheet1!K:K, "No Match")</f>
        <v>14</v>
      </c>
      <c r="M238" s="11">
        <v>43776</v>
      </c>
      <c r="N238" s="16">
        <v>0.50972222222222219</v>
      </c>
      <c r="O238">
        <v>1</v>
      </c>
      <c r="P238">
        <v>148.80000000000001</v>
      </c>
      <c r="Q238" t="s">
        <v>320</v>
      </c>
      <c r="R238" t="s">
        <v>254</v>
      </c>
      <c r="S238">
        <f>_xlfn.XLOOKUP(Table2[[#This Row],[Obs_date]],'19-20_niwa_temp_data'!B:B,'19-20_niwa_temp_data'!G:G, "N/A")</f>
        <v>17.675972391922318</v>
      </c>
      <c r="T238">
        <f>_xlfn.XLOOKUP(Table2[[#This Row],[First_egg_lay_date]],'19-20_niwa_temp_data'!B:B,'19-20_niwa_temp_data'!G:G, "No Match")</f>
        <v>14.419431334140747</v>
      </c>
    </row>
    <row r="239" spans="1:20" x14ac:dyDescent="0.35">
      <c r="A239" t="s">
        <v>9</v>
      </c>
      <c r="B239" t="s">
        <v>19</v>
      </c>
      <c r="C239" s="3" t="s">
        <v>108</v>
      </c>
      <c r="D239" t="str">
        <f>_xlfn.XLOOKUP(Table2[[#This Row],[Female_ID ]],'19-20_female_cohort'!I:I,'19-20_female_cohort'!H:H, "No Match")</f>
        <v>2014/2015</v>
      </c>
      <c r="E239">
        <v>5</v>
      </c>
      <c r="F239" s="11">
        <v>43772</v>
      </c>
      <c r="G239">
        <f>_xlfn.XLOOKUP(Table2[[#This Row],[First_egg_lay_date]],'19-20_niwa_temp_data'!B:B,'19-20_niwa_temp_data'!G:G, "No Match")</f>
        <v>14.419431334140747</v>
      </c>
      <c r="H239">
        <v>4</v>
      </c>
      <c r="I239" s="11">
        <v>43775</v>
      </c>
      <c r="J239">
        <f>_xlfn.XLOOKUP(Table2[[#This Row],[Nest_box_ID]],Sheet1!A:A,Sheet1!L:L, "No Match")</f>
        <v>0</v>
      </c>
      <c r="K239" s="11">
        <v>43789</v>
      </c>
      <c r="L239">
        <f>_xlfn.XLOOKUP(Table2[[#This Row],[Nest_box_ID]],Sheet1!A:A,Sheet1!K:K, "No Match")</f>
        <v>14</v>
      </c>
      <c r="M239" s="11">
        <v>43776</v>
      </c>
      <c r="N239" s="16">
        <v>0.5282175925925926</v>
      </c>
      <c r="O239">
        <v>1</v>
      </c>
      <c r="P239">
        <v>148.80000000000001</v>
      </c>
      <c r="Q239" t="s">
        <v>319</v>
      </c>
      <c r="R239">
        <v>392</v>
      </c>
      <c r="S239">
        <f>_xlfn.XLOOKUP(Table2[[#This Row],[Obs_date]],'19-20_niwa_temp_data'!B:B,'19-20_niwa_temp_data'!G:G, "N/A")</f>
        <v>17.675972391922318</v>
      </c>
      <c r="T239">
        <f>_xlfn.XLOOKUP(Table2[[#This Row],[First_egg_lay_date]],'19-20_niwa_temp_data'!B:B,'19-20_niwa_temp_data'!G:G, "No Match")</f>
        <v>14.419431334140747</v>
      </c>
    </row>
    <row r="240" spans="1:20" hidden="1" x14ac:dyDescent="0.35">
      <c r="A240" t="s">
        <v>9</v>
      </c>
      <c r="B240" t="s">
        <v>19</v>
      </c>
      <c r="C240" s="3" t="s">
        <v>108</v>
      </c>
      <c r="D240" t="str">
        <f>_xlfn.XLOOKUP(Table2[[#This Row],[Female_ID ]],'19-20_female_cohort'!I:I,'19-20_female_cohort'!H:H, "No Match")</f>
        <v>2014/2015</v>
      </c>
      <c r="E240">
        <v>5</v>
      </c>
      <c r="F240" s="11">
        <v>43772</v>
      </c>
      <c r="G240">
        <f>_xlfn.XLOOKUP(Table2[[#This Row],[First_egg_lay_date]],'19-20_niwa_temp_data'!B:B,'19-20_niwa_temp_data'!G:G, "No Match")</f>
        <v>14.419431334140747</v>
      </c>
      <c r="H240">
        <v>4</v>
      </c>
      <c r="I240" s="11">
        <v>43775</v>
      </c>
      <c r="J240">
        <f>_xlfn.XLOOKUP(Table2[[#This Row],[Nest_box_ID]],Sheet1!A:A,Sheet1!L:L, "No Match")</f>
        <v>0</v>
      </c>
      <c r="K240" s="11">
        <v>43789</v>
      </c>
      <c r="L240">
        <f>_xlfn.XLOOKUP(Table2[[#This Row],[Nest_box_ID]],Sheet1!A:A,Sheet1!K:K, "No Match")</f>
        <v>14</v>
      </c>
      <c r="M240" s="11">
        <v>43776</v>
      </c>
      <c r="N240" s="16">
        <v>0.53275462962962961</v>
      </c>
      <c r="O240">
        <v>1</v>
      </c>
      <c r="P240">
        <v>148.80000000000001</v>
      </c>
      <c r="Q240" t="s">
        <v>320</v>
      </c>
      <c r="R240">
        <v>1816</v>
      </c>
      <c r="S240">
        <f>_xlfn.XLOOKUP(Table2[[#This Row],[Obs_date]],'19-20_niwa_temp_data'!B:B,'19-20_niwa_temp_data'!G:G, "N/A")</f>
        <v>17.675972391922318</v>
      </c>
      <c r="T240">
        <f>_xlfn.XLOOKUP(Table2[[#This Row],[First_egg_lay_date]],'19-20_niwa_temp_data'!B:B,'19-20_niwa_temp_data'!G:G, "No Match")</f>
        <v>14.419431334140747</v>
      </c>
    </row>
    <row r="241" spans="1:20" x14ac:dyDescent="0.35">
      <c r="A241" t="s">
        <v>9</v>
      </c>
      <c r="B241" t="s">
        <v>19</v>
      </c>
      <c r="C241" s="3" t="s">
        <v>108</v>
      </c>
      <c r="D241" t="str">
        <f>_xlfn.XLOOKUP(Table2[[#This Row],[Female_ID ]],'19-20_female_cohort'!I:I,'19-20_female_cohort'!H:H, "No Match")</f>
        <v>2014/2015</v>
      </c>
      <c r="E241">
        <v>5</v>
      </c>
      <c r="F241" s="11">
        <v>43772</v>
      </c>
      <c r="G241">
        <f>_xlfn.XLOOKUP(Table2[[#This Row],[First_egg_lay_date]],'19-20_niwa_temp_data'!B:B,'19-20_niwa_temp_data'!G:G, "No Match")</f>
        <v>14.419431334140747</v>
      </c>
      <c r="H241">
        <v>4</v>
      </c>
      <c r="I241" s="11">
        <v>43775</v>
      </c>
      <c r="J241">
        <f>_xlfn.XLOOKUP(Table2[[#This Row],[Nest_box_ID]],Sheet1!A:A,Sheet1!L:L, "No Match")</f>
        <v>0</v>
      </c>
      <c r="K241" s="11">
        <v>43789</v>
      </c>
      <c r="L241">
        <f>_xlfn.XLOOKUP(Table2[[#This Row],[Nest_box_ID]],Sheet1!A:A,Sheet1!K:K, "No Match")</f>
        <v>14</v>
      </c>
      <c r="M241" s="11">
        <v>43776</v>
      </c>
      <c r="N241" s="16">
        <v>0.55377314814814815</v>
      </c>
      <c r="O241">
        <v>1</v>
      </c>
      <c r="P241">
        <v>148.80000000000001</v>
      </c>
      <c r="Q241" t="s">
        <v>319</v>
      </c>
      <c r="R241">
        <v>516</v>
      </c>
      <c r="S241">
        <f>_xlfn.XLOOKUP(Table2[[#This Row],[Obs_date]],'19-20_niwa_temp_data'!B:B,'19-20_niwa_temp_data'!G:G, "N/A")</f>
        <v>17.675972391922318</v>
      </c>
      <c r="T241">
        <f>_xlfn.XLOOKUP(Table2[[#This Row],[First_egg_lay_date]],'19-20_niwa_temp_data'!B:B,'19-20_niwa_temp_data'!G:G, "No Match")</f>
        <v>14.419431334140747</v>
      </c>
    </row>
    <row r="242" spans="1:20" hidden="1" x14ac:dyDescent="0.35">
      <c r="A242" t="s">
        <v>9</v>
      </c>
      <c r="B242" t="s">
        <v>19</v>
      </c>
      <c r="C242" s="3" t="s">
        <v>108</v>
      </c>
      <c r="D242" t="str">
        <f>_xlfn.XLOOKUP(Table2[[#This Row],[Female_ID ]],'19-20_female_cohort'!I:I,'19-20_female_cohort'!H:H, "No Match")</f>
        <v>2014/2015</v>
      </c>
      <c r="E242">
        <v>5</v>
      </c>
      <c r="F242" s="11">
        <v>43772</v>
      </c>
      <c r="G242">
        <f>_xlfn.XLOOKUP(Table2[[#This Row],[First_egg_lay_date]],'19-20_niwa_temp_data'!B:B,'19-20_niwa_temp_data'!G:G, "No Match")</f>
        <v>14.419431334140747</v>
      </c>
      <c r="H242">
        <v>4</v>
      </c>
      <c r="I242" s="11">
        <v>43775</v>
      </c>
      <c r="J242">
        <f>_xlfn.XLOOKUP(Table2[[#This Row],[Nest_box_ID]],Sheet1!A:A,Sheet1!L:L, "No Match")</f>
        <v>0</v>
      </c>
      <c r="K242" s="11">
        <v>43789</v>
      </c>
      <c r="L242">
        <f>_xlfn.XLOOKUP(Table2[[#This Row],[Nest_box_ID]],Sheet1!A:A,Sheet1!K:K, "No Match")</f>
        <v>14</v>
      </c>
      <c r="M242" s="11">
        <v>43776</v>
      </c>
      <c r="N242" s="16">
        <v>0.55974537037037042</v>
      </c>
      <c r="O242">
        <v>1</v>
      </c>
      <c r="P242">
        <v>148.80000000000001</v>
      </c>
      <c r="Q242" t="s">
        <v>320</v>
      </c>
      <c r="R242">
        <v>1464</v>
      </c>
      <c r="S242">
        <f>_xlfn.XLOOKUP(Table2[[#This Row],[Obs_date]],'19-20_niwa_temp_data'!B:B,'19-20_niwa_temp_data'!G:G, "N/A")</f>
        <v>17.675972391922318</v>
      </c>
      <c r="T242">
        <f>_xlfn.XLOOKUP(Table2[[#This Row],[First_egg_lay_date]],'19-20_niwa_temp_data'!B:B,'19-20_niwa_temp_data'!G:G, "No Match")</f>
        <v>14.419431334140747</v>
      </c>
    </row>
    <row r="243" spans="1:20" x14ac:dyDescent="0.35">
      <c r="A243" t="s">
        <v>9</v>
      </c>
      <c r="B243" t="s">
        <v>19</v>
      </c>
      <c r="C243" s="3" t="s">
        <v>108</v>
      </c>
      <c r="D243" t="str">
        <f>_xlfn.XLOOKUP(Table2[[#This Row],[Female_ID ]],'19-20_female_cohort'!I:I,'19-20_female_cohort'!H:H, "No Match")</f>
        <v>2014/2015</v>
      </c>
      <c r="E243">
        <v>5</v>
      </c>
      <c r="F243" s="11">
        <v>43772</v>
      </c>
      <c r="G243">
        <f>_xlfn.XLOOKUP(Table2[[#This Row],[First_egg_lay_date]],'19-20_niwa_temp_data'!B:B,'19-20_niwa_temp_data'!G:G, "No Match")</f>
        <v>14.419431334140747</v>
      </c>
      <c r="H243">
        <v>4</v>
      </c>
      <c r="I243" s="11">
        <v>43775</v>
      </c>
      <c r="J243">
        <f>_xlfn.XLOOKUP(Table2[[#This Row],[Nest_box_ID]],Sheet1!A:A,Sheet1!L:L, "No Match")</f>
        <v>0</v>
      </c>
      <c r="K243" s="11">
        <v>43789</v>
      </c>
      <c r="L243">
        <f>_xlfn.XLOOKUP(Table2[[#This Row],[Nest_box_ID]],Sheet1!A:A,Sheet1!K:K, "No Match")</f>
        <v>14</v>
      </c>
      <c r="M243" s="11">
        <v>43776</v>
      </c>
      <c r="N243" s="16">
        <v>0.57668981481481485</v>
      </c>
      <c r="O243">
        <v>1</v>
      </c>
      <c r="P243">
        <v>148.80000000000001</v>
      </c>
      <c r="Q243" t="s">
        <v>319</v>
      </c>
      <c r="R243">
        <v>317</v>
      </c>
      <c r="S243">
        <f>_xlfn.XLOOKUP(Table2[[#This Row],[Obs_date]],'19-20_niwa_temp_data'!B:B,'19-20_niwa_temp_data'!G:G, "N/A")</f>
        <v>17.675972391922318</v>
      </c>
      <c r="T243">
        <f>_xlfn.XLOOKUP(Table2[[#This Row],[First_egg_lay_date]],'19-20_niwa_temp_data'!B:B,'19-20_niwa_temp_data'!G:G, "No Match")</f>
        <v>14.419431334140747</v>
      </c>
    </row>
    <row r="244" spans="1:20" hidden="1" x14ac:dyDescent="0.35">
      <c r="A244" t="s">
        <v>9</v>
      </c>
      <c r="B244" t="s">
        <v>19</v>
      </c>
      <c r="C244" s="3" t="s">
        <v>108</v>
      </c>
      <c r="D244" t="str">
        <f>_xlfn.XLOOKUP(Table2[[#This Row],[Female_ID ]],'19-20_female_cohort'!I:I,'19-20_female_cohort'!H:H, "No Match")</f>
        <v>2014/2015</v>
      </c>
      <c r="E244">
        <v>5</v>
      </c>
      <c r="F244" s="11">
        <v>43772</v>
      </c>
      <c r="G244">
        <f>_xlfn.XLOOKUP(Table2[[#This Row],[First_egg_lay_date]],'19-20_niwa_temp_data'!B:B,'19-20_niwa_temp_data'!G:G, "No Match")</f>
        <v>14.419431334140747</v>
      </c>
      <c r="H244">
        <v>4</v>
      </c>
      <c r="I244" s="11">
        <v>43775</v>
      </c>
      <c r="J244">
        <f>_xlfn.XLOOKUP(Table2[[#This Row],[Nest_box_ID]],Sheet1!A:A,Sheet1!L:L, "No Match")</f>
        <v>0</v>
      </c>
      <c r="K244" s="11">
        <v>43789</v>
      </c>
      <c r="L244">
        <f>_xlfn.XLOOKUP(Table2[[#This Row],[Nest_box_ID]],Sheet1!A:A,Sheet1!K:K, "No Match")</f>
        <v>14</v>
      </c>
      <c r="M244" s="11">
        <v>43776</v>
      </c>
      <c r="N244" s="16">
        <v>0.58035879629629628</v>
      </c>
      <c r="O244">
        <v>1</v>
      </c>
      <c r="P244">
        <v>148.80000000000001</v>
      </c>
      <c r="Q244" t="s">
        <v>320</v>
      </c>
      <c r="R244">
        <v>278</v>
      </c>
      <c r="S244">
        <f>_xlfn.XLOOKUP(Table2[[#This Row],[Obs_date]],'19-20_niwa_temp_data'!B:B,'19-20_niwa_temp_data'!G:G, "N/A")</f>
        <v>17.675972391922318</v>
      </c>
      <c r="T244">
        <f>_xlfn.XLOOKUP(Table2[[#This Row],[First_egg_lay_date]],'19-20_niwa_temp_data'!B:B,'19-20_niwa_temp_data'!G:G, "No Match")</f>
        <v>14.419431334140747</v>
      </c>
    </row>
    <row r="245" spans="1:20" x14ac:dyDescent="0.35">
      <c r="A245" t="s">
        <v>9</v>
      </c>
      <c r="B245" t="s">
        <v>19</v>
      </c>
      <c r="C245" s="3" t="s">
        <v>108</v>
      </c>
      <c r="D245" t="str">
        <f>_xlfn.XLOOKUP(Table2[[#This Row],[Female_ID ]],'19-20_female_cohort'!I:I,'19-20_female_cohort'!H:H, "No Match")</f>
        <v>2014/2015</v>
      </c>
      <c r="E245">
        <v>5</v>
      </c>
      <c r="F245" s="11">
        <v>43772</v>
      </c>
      <c r="G245">
        <f>_xlfn.XLOOKUP(Table2[[#This Row],[First_egg_lay_date]],'19-20_niwa_temp_data'!B:B,'19-20_niwa_temp_data'!G:G, "No Match")</f>
        <v>14.419431334140747</v>
      </c>
      <c r="H245">
        <v>4</v>
      </c>
      <c r="I245" s="11">
        <v>43775</v>
      </c>
      <c r="J245">
        <f>_xlfn.XLOOKUP(Table2[[#This Row],[Nest_box_ID]],Sheet1!A:A,Sheet1!L:L, "No Match")</f>
        <v>0</v>
      </c>
      <c r="K245" s="11">
        <v>43789</v>
      </c>
      <c r="L245">
        <f>_xlfn.XLOOKUP(Table2[[#This Row],[Nest_box_ID]],Sheet1!A:A,Sheet1!K:K, "No Match")</f>
        <v>14</v>
      </c>
      <c r="M245" s="11">
        <v>43776</v>
      </c>
      <c r="N245" s="16">
        <v>0.58357638888888885</v>
      </c>
      <c r="O245">
        <v>1</v>
      </c>
      <c r="P245">
        <v>148.80000000000001</v>
      </c>
      <c r="Q245" t="s">
        <v>319</v>
      </c>
      <c r="R245">
        <v>224</v>
      </c>
      <c r="S245">
        <f>_xlfn.XLOOKUP(Table2[[#This Row],[Obs_date]],'19-20_niwa_temp_data'!B:B,'19-20_niwa_temp_data'!G:G, "N/A")</f>
        <v>17.675972391922318</v>
      </c>
      <c r="T245">
        <f>_xlfn.XLOOKUP(Table2[[#This Row],[First_egg_lay_date]],'19-20_niwa_temp_data'!B:B,'19-20_niwa_temp_data'!G:G, "No Match")</f>
        <v>14.419431334140747</v>
      </c>
    </row>
    <row r="246" spans="1:20" hidden="1" x14ac:dyDescent="0.35">
      <c r="A246" t="s">
        <v>9</v>
      </c>
      <c r="B246" t="s">
        <v>19</v>
      </c>
      <c r="C246" s="3" t="s">
        <v>108</v>
      </c>
      <c r="D246" t="str">
        <f>_xlfn.XLOOKUP(Table2[[#This Row],[Female_ID ]],'19-20_female_cohort'!I:I,'19-20_female_cohort'!H:H, "No Match")</f>
        <v>2014/2015</v>
      </c>
      <c r="E246">
        <v>5</v>
      </c>
      <c r="F246" s="11">
        <v>43772</v>
      </c>
      <c r="G246">
        <f>_xlfn.XLOOKUP(Table2[[#This Row],[First_egg_lay_date]],'19-20_niwa_temp_data'!B:B,'19-20_niwa_temp_data'!G:G, "No Match")</f>
        <v>14.419431334140747</v>
      </c>
      <c r="H246">
        <v>4</v>
      </c>
      <c r="I246" s="11">
        <v>43775</v>
      </c>
      <c r="J246">
        <f>_xlfn.XLOOKUP(Table2[[#This Row],[Nest_box_ID]],Sheet1!A:A,Sheet1!L:L, "No Match")</f>
        <v>0</v>
      </c>
      <c r="K246" s="11">
        <v>43789</v>
      </c>
      <c r="L246">
        <f>_xlfn.XLOOKUP(Table2[[#This Row],[Nest_box_ID]],Sheet1!A:A,Sheet1!K:K, "No Match")</f>
        <v>14</v>
      </c>
      <c r="M246" s="11">
        <v>43776</v>
      </c>
      <c r="N246" s="16">
        <v>0.58616898148148144</v>
      </c>
      <c r="O246">
        <v>1</v>
      </c>
      <c r="P246">
        <v>148.80000000000001</v>
      </c>
      <c r="Q246" t="s">
        <v>320</v>
      </c>
      <c r="R246">
        <v>1807</v>
      </c>
      <c r="S246">
        <f>_xlfn.XLOOKUP(Table2[[#This Row],[Obs_date]],'19-20_niwa_temp_data'!B:B,'19-20_niwa_temp_data'!G:G, "N/A")</f>
        <v>17.675972391922318</v>
      </c>
      <c r="T246">
        <f>_xlfn.XLOOKUP(Table2[[#This Row],[First_egg_lay_date]],'19-20_niwa_temp_data'!B:B,'19-20_niwa_temp_data'!G:G, "No Match")</f>
        <v>14.419431334140747</v>
      </c>
    </row>
    <row r="247" spans="1:20" x14ac:dyDescent="0.35">
      <c r="A247" t="s">
        <v>9</v>
      </c>
      <c r="B247" t="s">
        <v>19</v>
      </c>
      <c r="C247" s="3" t="s">
        <v>108</v>
      </c>
      <c r="D247" t="str">
        <f>_xlfn.XLOOKUP(Table2[[#This Row],[Female_ID ]],'19-20_female_cohort'!I:I,'19-20_female_cohort'!H:H, "No Match")</f>
        <v>2014/2015</v>
      </c>
      <c r="E247">
        <v>5</v>
      </c>
      <c r="F247" s="11">
        <v>43772</v>
      </c>
      <c r="G247">
        <f>_xlfn.XLOOKUP(Table2[[#This Row],[First_egg_lay_date]],'19-20_niwa_temp_data'!B:B,'19-20_niwa_temp_data'!G:G, "No Match")</f>
        <v>14.419431334140747</v>
      </c>
      <c r="H247">
        <v>4</v>
      </c>
      <c r="I247" s="11">
        <v>43775</v>
      </c>
      <c r="J247">
        <f>_xlfn.XLOOKUP(Table2[[#This Row],[Nest_box_ID]],Sheet1!A:A,Sheet1!L:L, "No Match")</f>
        <v>0</v>
      </c>
      <c r="K247" s="11">
        <v>43789</v>
      </c>
      <c r="L247">
        <f>_xlfn.XLOOKUP(Table2[[#This Row],[Nest_box_ID]],Sheet1!A:A,Sheet1!K:K, "No Match")</f>
        <v>14</v>
      </c>
      <c r="M247" s="11">
        <v>43776</v>
      </c>
      <c r="N247" s="16">
        <v>0.60708333333333331</v>
      </c>
      <c r="O247">
        <v>1</v>
      </c>
      <c r="P247">
        <v>148.80000000000001</v>
      </c>
      <c r="Q247" t="s">
        <v>319</v>
      </c>
      <c r="R247">
        <v>220</v>
      </c>
      <c r="S247">
        <f>_xlfn.XLOOKUP(Table2[[#This Row],[Obs_date]],'19-20_niwa_temp_data'!B:B,'19-20_niwa_temp_data'!G:G, "N/A")</f>
        <v>17.675972391922318</v>
      </c>
      <c r="T247">
        <f>_xlfn.XLOOKUP(Table2[[#This Row],[First_egg_lay_date]],'19-20_niwa_temp_data'!B:B,'19-20_niwa_temp_data'!G:G, "No Match")</f>
        <v>14.419431334140747</v>
      </c>
    </row>
    <row r="248" spans="1:20" hidden="1" x14ac:dyDescent="0.35">
      <c r="A248" t="s">
        <v>9</v>
      </c>
      <c r="B248" t="s">
        <v>19</v>
      </c>
      <c r="C248" s="3" t="s">
        <v>108</v>
      </c>
      <c r="D248" t="str">
        <f>_xlfn.XLOOKUP(Table2[[#This Row],[Female_ID ]],'19-20_female_cohort'!I:I,'19-20_female_cohort'!H:H, "No Match")</f>
        <v>2014/2015</v>
      </c>
      <c r="E248">
        <v>5</v>
      </c>
      <c r="F248" s="11">
        <v>43772</v>
      </c>
      <c r="G248">
        <f>_xlfn.XLOOKUP(Table2[[#This Row],[First_egg_lay_date]],'19-20_niwa_temp_data'!B:B,'19-20_niwa_temp_data'!G:G, "No Match")</f>
        <v>14.419431334140747</v>
      </c>
      <c r="H248">
        <v>4</v>
      </c>
      <c r="I248" s="11">
        <v>43775</v>
      </c>
      <c r="J248">
        <f>_xlfn.XLOOKUP(Table2[[#This Row],[Nest_box_ID]],Sheet1!A:A,Sheet1!L:L, "No Match")</f>
        <v>0</v>
      </c>
      <c r="K248" s="11">
        <v>43789</v>
      </c>
      <c r="L248">
        <f>_xlfn.XLOOKUP(Table2[[#This Row],[Nest_box_ID]],Sheet1!A:A,Sheet1!K:K, "No Match")</f>
        <v>14</v>
      </c>
      <c r="M248" s="11">
        <v>43776</v>
      </c>
      <c r="N248" s="16">
        <v>0.60962962962962963</v>
      </c>
      <c r="O248">
        <v>1</v>
      </c>
      <c r="P248">
        <v>148.80000000000001</v>
      </c>
      <c r="Q248" t="s">
        <v>320</v>
      </c>
      <c r="R248">
        <v>207</v>
      </c>
      <c r="S248">
        <f>_xlfn.XLOOKUP(Table2[[#This Row],[Obs_date]],'19-20_niwa_temp_data'!B:B,'19-20_niwa_temp_data'!G:G, "N/A")</f>
        <v>17.675972391922318</v>
      </c>
      <c r="T248">
        <f>_xlfn.XLOOKUP(Table2[[#This Row],[First_egg_lay_date]],'19-20_niwa_temp_data'!B:B,'19-20_niwa_temp_data'!G:G, "No Match")</f>
        <v>14.419431334140747</v>
      </c>
    </row>
    <row r="249" spans="1:20" x14ac:dyDescent="0.35">
      <c r="A249" t="s">
        <v>9</v>
      </c>
      <c r="B249" t="s">
        <v>19</v>
      </c>
      <c r="C249" s="3" t="s">
        <v>108</v>
      </c>
      <c r="D249" t="str">
        <f>_xlfn.XLOOKUP(Table2[[#This Row],[Female_ID ]],'19-20_female_cohort'!I:I,'19-20_female_cohort'!H:H, "No Match")</f>
        <v>2014/2015</v>
      </c>
      <c r="E249">
        <v>5</v>
      </c>
      <c r="F249" s="11">
        <v>43772</v>
      </c>
      <c r="G249">
        <f>_xlfn.XLOOKUP(Table2[[#This Row],[First_egg_lay_date]],'19-20_niwa_temp_data'!B:B,'19-20_niwa_temp_data'!G:G, "No Match")</f>
        <v>14.419431334140747</v>
      </c>
      <c r="H249">
        <v>4</v>
      </c>
      <c r="I249" s="11">
        <v>43775</v>
      </c>
      <c r="J249">
        <f>_xlfn.XLOOKUP(Table2[[#This Row],[Nest_box_ID]],Sheet1!A:A,Sheet1!L:L, "No Match")</f>
        <v>0</v>
      </c>
      <c r="K249" s="11">
        <v>43789</v>
      </c>
      <c r="L249">
        <f>_xlfn.XLOOKUP(Table2[[#This Row],[Nest_box_ID]],Sheet1!A:A,Sheet1!K:K, "No Match")</f>
        <v>14</v>
      </c>
      <c r="M249" s="11">
        <v>43776</v>
      </c>
      <c r="N249" s="16">
        <v>0.61202546296296301</v>
      </c>
      <c r="O249">
        <v>1</v>
      </c>
      <c r="P249">
        <v>148.80000000000001</v>
      </c>
      <c r="Q249" t="s">
        <v>319</v>
      </c>
      <c r="R249">
        <v>89</v>
      </c>
      <c r="S249">
        <f>_xlfn.XLOOKUP(Table2[[#This Row],[Obs_date]],'19-20_niwa_temp_data'!B:B,'19-20_niwa_temp_data'!G:G, "N/A")</f>
        <v>17.675972391922318</v>
      </c>
      <c r="T249">
        <f>_xlfn.XLOOKUP(Table2[[#This Row],[First_egg_lay_date]],'19-20_niwa_temp_data'!B:B,'19-20_niwa_temp_data'!G:G, "No Match")</f>
        <v>14.419431334140747</v>
      </c>
    </row>
    <row r="250" spans="1:20" hidden="1" x14ac:dyDescent="0.35">
      <c r="A250" t="s">
        <v>9</v>
      </c>
      <c r="B250" t="s">
        <v>19</v>
      </c>
      <c r="C250" s="3" t="s">
        <v>108</v>
      </c>
      <c r="D250" t="str">
        <f>_xlfn.XLOOKUP(Table2[[#This Row],[Female_ID ]],'19-20_female_cohort'!I:I,'19-20_female_cohort'!H:H, "No Match")</f>
        <v>2014/2015</v>
      </c>
      <c r="E250">
        <v>5</v>
      </c>
      <c r="F250" s="11">
        <v>43772</v>
      </c>
      <c r="G250">
        <f>_xlfn.XLOOKUP(Table2[[#This Row],[First_egg_lay_date]],'19-20_niwa_temp_data'!B:B,'19-20_niwa_temp_data'!G:G, "No Match")</f>
        <v>14.419431334140747</v>
      </c>
      <c r="H250">
        <v>4</v>
      </c>
      <c r="I250" s="11">
        <v>43775</v>
      </c>
      <c r="J250">
        <f>_xlfn.XLOOKUP(Table2[[#This Row],[Nest_box_ID]],Sheet1!A:A,Sheet1!L:L, "No Match")</f>
        <v>0</v>
      </c>
      <c r="K250" s="11">
        <v>43789</v>
      </c>
      <c r="L250">
        <f>_xlfn.XLOOKUP(Table2[[#This Row],[Nest_box_ID]],Sheet1!A:A,Sheet1!K:K, "No Match")</f>
        <v>14</v>
      </c>
      <c r="M250" s="11">
        <v>43776</v>
      </c>
      <c r="N250" s="16">
        <v>0.61305555555555558</v>
      </c>
      <c r="O250">
        <v>1</v>
      </c>
      <c r="P250">
        <v>148.80000000000001</v>
      </c>
      <c r="Q250" t="s">
        <v>320</v>
      </c>
      <c r="R250" t="s">
        <v>254</v>
      </c>
      <c r="S250">
        <f>_xlfn.XLOOKUP(Table2[[#This Row],[Obs_date]],'19-20_niwa_temp_data'!B:B,'19-20_niwa_temp_data'!G:G, "N/A")</f>
        <v>17.675972391922318</v>
      </c>
      <c r="T250">
        <f>_xlfn.XLOOKUP(Table2[[#This Row],[First_egg_lay_date]],'19-20_niwa_temp_data'!B:B,'19-20_niwa_temp_data'!G:G, "No Match")</f>
        <v>14.419431334140747</v>
      </c>
    </row>
    <row r="251" spans="1:20" hidden="1" x14ac:dyDescent="0.35">
      <c r="A251" t="s">
        <v>9</v>
      </c>
      <c r="B251" t="s">
        <v>19</v>
      </c>
      <c r="C251" s="3" t="s">
        <v>108</v>
      </c>
      <c r="D251" t="str">
        <f>_xlfn.XLOOKUP(Table2[[#This Row],[Female_ID ]],'19-20_female_cohort'!I:I,'19-20_female_cohort'!H:H, "No Match")</f>
        <v>2014/2015</v>
      </c>
      <c r="E251">
        <v>5</v>
      </c>
      <c r="F251" s="11">
        <v>43772</v>
      </c>
      <c r="G251">
        <f>_xlfn.XLOOKUP(Table2[[#This Row],[First_egg_lay_date]],'19-20_niwa_temp_data'!B:B,'19-20_niwa_temp_data'!G:G, "No Match")</f>
        <v>14.419431334140747</v>
      </c>
      <c r="H251">
        <v>4</v>
      </c>
      <c r="I251" s="11">
        <v>43775</v>
      </c>
      <c r="J251">
        <f>_xlfn.XLOOKUP(Table2[[#This Row],[Nest_box_ID]],Sheet1!A:A,Sheet1!L:L, "No Match")</f>
        <v>0</v>
      </c>
      <c r="K251" s="11">
        <v>43789</v>
      </c>
      <c r="L251">
        <f>_xlfn.XLOOKUP(Table2[[#This Row],[Nest_box_ID]],Sheet1!A:A,Sheet1!K:K, "No Match")</f>
        <v>14</v>
      </c>
      <c r="M251" s="11">
        <v>43776</v>
      </c>
      <c r="N251" s="16">
        <v>0.50972222222222219</v>
      </c>
      <c r="O251">
        <v>1</v>
      </c>
      <c r="P251">
        <v>148.80000000000001</v>
      </c>
      <c r="Q251" t="s">
        <v>320</v>
      </c>
      <c r="R251">
        <v>1598</v>
      </c>
      <c r="S251">
        <f>_xlfn.XLOOKUP(Table2[[#This Row],[Obs_date]],'19-20_niwa_temp_data'!B:B,'19-20_niwa_temp_data'!G:G, "N/A")</f>
        <v>17.675972391922318</v>
      </c>
      <c r="T251">
        <f>_xlfn.XLOOKUP(Table2[[#This Row],[First_egg_lay_date]],'19-20_niwa_temp_data'!B:B,'19-20_niwa_temp_data'!G:G, "No Match")</f>
        <v>14.419431334140747</v>
      </c>
    </row>
    <row r="252" spans="1:20" x14ac:dyDescent="0.35">
      <c r="A252" t="s">
        <v>9</v>
      </c>
      <c r="B252" t="s">
        <v>19</v>
      </c>
      <c r="C252" s="3" t="s">
        <v>108</v>
      </c>
      <c r="D252" t="str">
        <f>_xlfn.XLOOKUP(Table2[[#This Row],[Female_ID ]],'19-20_female_cohort'!I:I,'19-20_female_cohort'!H:H, "No Match")</f>
        <v>2014/2015</v>
      </c>
      <c r="E252">
        <v>5</v>
      </c>
      <c r="F252" s="11">
        <v>43772</v>
      </c>
      <c r="G252">
        <f>_xlfn.XLOOKUP(Table2[[#This Row],[First_egg_lay_date]],'19-20_niwa_temp_data'!B:B,'19-20_niwa_temp_data'!G:G, "No Match")</f>
        <v>14.419431334140747</v>
      </c>
      <c r="H252">
        <v>4</v>
      </c>
      <c r="I252" s="11">
        <v>43775</v>
      </c>
      <c r="J252">
        <f>_xlfn.XLOOKUP(Table2[[#This Row],[Nest_box_ID]],Sheet1!A:A,Sheet1!L:L, "No Match")</f>
        <v>0</v>
      </c>
      <c r="K252" s="11">
        <v>43789</v>
      </c>
      <c r="L252">
        <f>_xlfn.XLOOKUP(Table2[[#This Row],[Nest_box_ID]],Sheet1!A:A,Sheet1!K:K, "No Match")</f>
        <v>14</v>
      </c>
      <c r="M252" s="11">
        <v>43776</v>
      </c>
      <c r="N252" s="16">
        <v>0.5282175925925926</v>
      </c>
      <c r="O252">
        <v>1</v>
      </c>
      <c r="P252">
        <v>148.80000000000001</v>
      </c>
      <c r="Q252" t="s">
        <v>319</v>
      </c>
      <c r="R252">
        <v>392</v>
      </c>
      <c r="S252">
        <f>_xlfn.XLOOKUP(Table2[[#This Row],[Obs_date]],'19-20_niwa_temp_data'!B:B,'19-20_niwa_temp_data'!G:G, "N/A")</f>
        <v>17.675972391922318</v>
      </c>
      <c r="T252">
        <f>_xlfn.XLOOKUP(Table2[[#This Row],[First_egg_lay_date]],'19-20_niwa_temp_data'!B:B,'19-20_niwa_temp_data'!G:G, "No Match")</f>
        <v>14.419431334140747</v>
      </c>
    </row>
    <row r="253" spans="1:20" hidden="1" x14ac:dyDescent="0.35">
      <c r="A253" t="s">
        <v>9</v>
      </c>
      <c r="B253" t="s">
        <v>19</v>
      </c>
      <c r="C253" s="3" t="s">
        <v>108</v>
      </c>
      <c r="D253" t="str">
        <f>_xlfn.XLOOKUP(Table2[[#This Row],[Female_ID ]],'19-20_female_cohort'!I:I,'19-20_female_cohort'!H:H, "No Match")</f>
        <v>2014/2015</v>
      </c>
      <c r="E253">
        <v>5</v>
      </c>
      <c r="F253" s="11">
        <v>43772</v>
      </c>
      <c r="G253">
        <f>_xlfn.XLOOKUP(Table2[[#This Row],[First_egg_lay_date]],'19-20_niwa_temp_data'!B:B,'19-20_niwa_temp_data'!G:G, "No Match")</f>
        <v>14.419431334140747</v>
      </c>
      <c r="H253">
        <v>4</v>
      </c>
      <c r="I253" s="11">
        <v>43775</v>
      </c>
      <c r="J253">
        <f>_xlfn.XLOOKUP(Table2[[#This Row],[Nest_box_ID]],Sheet1!A:A,Sheet1!L:L, "No Match")</f>
        <v>0</v>
      </c>
      <c r="K253" s="11">
        <v>43789</v>
      </c>
      <c r="L253">
        <f>_xlfn.XLOOKUP(Table2[[#This Row],[Nest_box_ID]],Sheet1!A:A,Sheet1!K:K, "No Match")</f>
        <v>14</v>
      </c>
      <c r="M253" s="11">
        <v>43776</v>
      </c>
      <c r="N253" s="16">
        <v>0.53275462962962961</v>
      </c>
      <c r="O253">
        <v>1</v>
      </c>
      <c r="P253">
        <v>148.80000000000001</v>
      </c>
      <c r="Q253" t="s">
        <v>320</v>
      </c>
      <c r="R253">
        <v>3677</v>
      </c>
      <c r="S253">
        <f>_xlfn.XLOOKUP(Table2[[#This Row],[Obs_date]],'19-20_niwa_temp_data'!B:B,'19-20_niwa_temp_data'!G:G, "N/A")</f>
        <v>17.675972391922318</v>
      </c>
      <c r="T253">
        <f>_xlfn.XLOOKUP(Table2[[#This Row],[First_egg_lay_date]],'19-20_niwa_temp_data'!B:B,'19-20_niwa_temp_data'!G:G, "No Match")</f>
        <v>14.419431334140747</v>
      </c>
    </row>
    <row r="254" spans="1:20" x14ac:dyDescent="0.35">
      <c r="A254" t="s">
        <v>9</v>
      </c>
      <c r="B254" t="s">
        <v>19</v>
      </c>
      <c r="C254" s="3" t="s">
        <v>108</v>
      </c>
      <c r="D254" t="str">
        <f>_xlfn.XLOOKUP(Table2[[#This Row],[Female_ID ]],'19-20_female_cohort'!I:I,'19-20_female_cohort'!H:H, "No Match")</f>
        <v>2014/2015</v>
      </c>
      <c r="E254">
        <v>5</v>
      </c>
      <c r="F254" s="11">
        <v>43772</v>
      </c>
      <c r="G254">
        <f>_xlfn.XLOOKUP(Table2[[#This Row],[First_egg_lay_date]],'19-20_niwa_temp_data'!B:B,'19-20_niwa_temp_data'!G:G, "No Match")</f>
        <v>14.419431334140747</v>
      </c>
      <c r="H254">
        <v>4</v>
      </c>
      <c r="I254" s="11">
        <v>43775</v>
      </c>
      <c r="J254">
        <f>_xlfn.XLOOKUP(Table2[[#This Row],[Nest_box_ID]],Sheet1!A:A,Sheet1!L:L, "No Match")</f>
        <v>0</v>
      </c>
      <c r="K254" s="11">
        <v>43789</v>
      </c>
      <c r="L254">
        <f>_xlfn.XLOOKUP(Table2[[#This Row],[Nest_box_ID]],Sheet1!A:A,Sheet1!K:K, "No Match")</f>
        <v>14</v>
      </c>
      <c r="M254" s="11">
        <v>43782</v>
      </c>
      <c r="N254" s="16">
        <v>0.59504629629629635</v>
      </c>
      <c r="O254">
        <v>7</v>
      </c>
      <c r="P254">
        <v>62.433333333333337</v>
      </c>
      <c r="Q254" t="s">
        <v>319</v>
      </c>
      <c r="R254">
        <v>246</v>
      </c>
      <c r="S254">
        <f>_xlfn.XLOOKUP(Table2[[#This Row],[Obs_date]],'19-20_niwa_temp_data'!B:B,'19-20_niwa_temp_data'!G:G, "N/A")</f>
        <v>11.944873377311289</v>
      </c>
      <c r="T254">
        <f>_xlfn.XLOOKUP(Table2[[#This Row],[First_egg_lay_date]],'19-20_niwa_temp_data'!B:B,'19-20_niwa_temp_data'!G:G, "No Match")</f>
        <v>14.419431334140747</v>
      </c>
    </row>
    <row r="255" spans="1:20" hidden="1" x14ac:dyDescent="0.35">
      <c r="A255" t="s">
        <v>9</v>
      </c>
      <c r="B255" t="s">
        <v>19</v>
      </c>
      <c r="C255" s="3" t="s">
        <v>108</v>
      </c>
      <c r="D255" t="str">
        <f>_xlfn.XLOOKUP(Table2[[#This Row],[Female_ID ]],'19-20_female_cohort'!I:I,'19-20_female_cohort'!H:H, "No Match")</f>
        <v>2014/2015</v>
      </c>
      <c r="E255">
        <v>5</v>
      </c>
      <c r="F255" s="11">
        <v>43772</v>
      </c>
      <c r="G255">
        <f>_xlfn.XLOOKUP(Table2[[#This Row],[First_egg_lay_date]],'19-20_niwa_temp_data'!B:B,'19-20_niwa_temp_data'!G:G, "No Match")</f>
        <v>14.419431334140747</v>
      </c>
      <c r="H255">
        <v>4</v>
      </c>
      <c r="I255" s="11">
        <v>43775</v>
      </c>
      <c r="J255">
        <f>_xlfn.XLOOKUP(Table2[[#This Row],[Nest_box_ID]],Sheet1!A:A,Sheet1!L:L, "No Match")</f>
        <v>0</v>
      </c>
      <c r="K255" s="11">
        <v>43789</v>
      </c>
      <c r="L255">
        <f>_xlfn.XLOOKUP(Table2[[#This Row],[Nest_box_ID]],Sheet1!A:A,Sheet1!K:K, "No Match")</f>
        <v>14</v>
      </c>
      <c r="M255" s="11">
        <v>43782</v>
      </c>
      <c r="N255" s="16">
        <v>0.59789351851851846</v>
      </c>
      <c r="O255">
        <v>7</v>
      </c>
      <c r="P255">
        <v>62.433333333333337</v>
      </c>
      <c r="Q255" t="s">
        <v>320</v>
      </c>
      <c r="R255">
        <v>523</v>
      </c>
      <c r="S255">
        <f>_xlfn.XLOOKUP(Table2[[#This Row],[Obs_date]],'19-20_niwa_temp_data'!B:B,'19-20_niwa_temp_data'!G:G, "N/A")</f>
        <v>11.944873377311289</v>
      </c>
      <c r="T255">
        <f>_xlfn.XLOOKUP(Table2[[#This Row],[First_egg_lay_date]],'19-20_niwa_temp_data'!B:B,'19-20_niwa_temp_data'!G:G, "No Match")</f>
        <v>14.419431334140747</v>
      </c>
    </row>
    <row r="256" spans="1:20" hidden="1" x14ac:dyDescent="0.35">
      <c r="A256" t="s">
        <v>9</v>
      </c>
      <c r="B256" t="s">
        <v>19</v>
      </c>
      <c r="C256" s="3" t="s">
        <v>108</v>
      </c>
      <c r="D256" t="str">
        <f>_xlfn.XLOOKUP(Table2[[#This Row],[Female_ID ]],'19-20_female_cohort'!I:I,'19-20_female_cohort'!H:H, "No Match")</f>
        <v>2014/2015</v>
      </c>
      <c r="E256">
        <v>5</v>
      </c>
      <c r="F256" s="11">
        <v>43772</v>
      </c>
      <c r="G256">
        <f>_xlfn.XLOOKUP(Table2[[#This Row],[First_egg_lay_date]],'19-20_niwa_temp_data'!B:B,'19-20_niwa_temp_data'!G:G, "No Match")</f>
        <v>14.419431334140747</v>
      </c>
      <c r="H256">
        <v>4</v>
      </c>
      <c r="I256" s="11">
        <v>43775</v>
      </c>
      <c r="J256">
        <f>_xlfn.XLOOKUP(Table2[[#This Row],[Nest_box_ID]],Sheet1!A:A,Sheet1!L:L, "No Match")</f>
        <v>0</v>
      </c>
      <c r="K256" s="11">
        <v>43789</v>
      </c>
      <c r="L256">
        <f>_xlfn.XLOOKUP(Table2[[#This Row],[Nest_box_ID]],Sheet1!A:A,Sheet1!K:K, "No Match")</f>
        <v>14</v>
      </c>
      <c r="M256" s="11">
        <v>43782</v>
      </c>
      <c r="N256" s="16">
        <v>0.60394675925925922</v>
      </c>
      <c r="O256">
        <v>7</v>
      </c>
      <c r="P256">
        <v>62.433333333333337</v>
      </c>
      <c r="Q256" t="s">
        <v>320</v>
      </c>
      <c r="R256">
        <v>327</v>
      </c>
      <c r="S256">
        <f>_xlfn.XLOOKUP(Table2[[#This Row],[Obs_date]],'19-20_niwa_temp_data'!B:B,'19-20_niwa_temp_data'!G:G, "N/A")</f>
        <v>11.944873377311289</v>
      </c>
      <c r="T256">
        <f>_xlfn.XLOOKUP(Table2[[#This Row],[First_egg_lay_date]],'19-20_niwa_temp_data'!B:B,'19-20_niwa_temp_data'!G:G, "No Match")</f>
        <v>14.419431334140747</v>
      </c>
    </row>
    <row r="257" spans="1:20" x14ac:dyDescent="0.35">
      <c r="A257" t="s">
        <v>9</v>
      </c>
      <c r="B257" t="s">
        <v>19</v>
      </c>
      <c r="C257" s="3" t="s">
        <v>108</v>
      </c>
      <c r="D257" t="str">
        <f>_xlfn.XLOOKUP(Table2[[#This Row],[Female_ID ]],'19-20_female_cohort'!I:I,'19-20_female_cohort'!H:H, "No Match")</f>
        <v>2014/2015</v>
      </c>
      <c r="E257">
        <v>5</v>
      </c>
      <c r="F257" s="11">
        <v>43772</v>
      </c>
      <c r="G257">
        <f>_xlfn.XLOOKUP(Table2[[#This Row],[First_egg_lay_date]],'19-20_niwa_temp_data'!B:B,'19-20_niwa_temp_data'!G:G, "No Match")</f>
        <v>14.419431334140747</v>
      </c>
      <c r="H257">
        <v>4</v>
      </c>
      <c r="I257" s="11">
        <v>43775</v>
      </c>
      <c r="J257">
        <f>_xlfn.XLOOKUP(Table2[[#This Row],[Nest_box_ID]],Sheet1!A:A,Sheet1!L:L, "No Match")</f>
        <v>0</v>
      </c>
      <c r="K257" s="11">
        <v>43789</v>
      </c>
      <c r="L257">
        <f>_xlfn.XLOOKUP(Table2[[#This Row],[Nest_box_ID]],Sheet1!A:A,Sheet1!K:K, "No Match")</f>
        <v>14</v>
      </c>
      <c r="M257" s="11">
        <v>43782</v>
      </c>
      <c r="N257" s="16">
        <v>0.60773148148148148</v>
      </c>
      <c r="O257">
        <v>7</v>
      </c>
      <c r="P257">
        <v>62.433333333333337</v>
      </c>
      <c r="Q257" t="s">
        <v>319</v>
      </c>
      <c r="R257">
        <v>221</v>
      </c>
      <c r="S257">
        <f>_xlfn.XLOOKUP(Table2[[#This Row],[Obs_date]],'19-20_niwa_temp_data'!B:B,'19-20_niwa_temp_data'!G:G, "N/A")</f>
        <v>11.944873377311289</v>
      </c>
      <c r="T257">
        <f>_xlfn.XLOOKUP(Table2[[#This Row],[First_egg_lay_date]],'19-20_niwa_temp_data'!B:B,'19-20_niwa_temp_data'!G:G, "No Match")</f>
        <v>14.419431334140747</v>
      </c>
    </row>
    <row r="258" spans="1:20" hidden="1" x14ac:dyDescent="0.35">
      <c r="A258" t="s">
        <v>9</v>
      </c>
      <c r="B258" t="s">
        <v>19</v>
      </c>
      <c r="C258" s="3" t="s">
        <v>108</v>
      </c>
      <c r="D258" t="str">
        <f>_xlfn.XLOOKUP(Table2[[#This Row],[Female_ID ]],'19-20_female_cohort'!I:I,'19-20_female_cohort'!H:H, "No Match")</f>
        <v>2014/2015</v>
      </c>
      <c r="E258">
        <v>5</v>
      </c>
      <c r="F258" s="11">
        <v>43772</v>
      </c>
      <c r="G258">
        <f>_xlfn.XLOOKUP(Table2[[#This Row],[First_egg_lay_date]],'19-20_niwa_temp_data'!B:B,'19-20_niwa_temp_data'!G:G, "No Match")</f>
        <v>14.419431334140747</v>
      </c>
      <c r="H258">
        <v>4</v>
      </c>
      <c r="I258" s="11">
        <v>43775</v>
      </c>
      <c r="J258">
        <f>_xlfn.XLOOKUP(Table2[[#This Row],[Nest_box_ID]],Sheet1!A:A,Sheet1!L:L, "No Match")</f>
        <v>0</v>
      </c>
      <c r="K258" s="11">
        <v>43789</v>
      </c>
      <c r="L258">
        <f>_xlfn.XLOOKUP(Table2[[#This Row],[Nest_box_ID]],Sheet1!A:A,Sheet1!K:K, "No Match")</f>
        <v>14</v>
      </c>
      <c r="M258" s="11">
        <v>43782</v>
      </c>
      <c r="N258" s="16">
        <v>0.61028935185185185</v>
      </c>
      <c r="O258">
        <v>7</v>
      </c>
      <c r="P258">
        <v>62.433333333333337</v>
      </c>
      <c r="Q258" t="s">
        <v>320</v>
      </c>
      <c r="R258">
        <v>729</v>
      </c>
      <c r="S258">
        <f>_xlfn.XLOOKUP(Table2[[#This Row],[Obs_date]],'19-20_niwa_temp_data'!B:B,'19-20_niwa_temp_data'!G:G, "N/A")</f>
        <v>11.944873377311289</v>
      </c>
      <c r="T258">
        <f>_xlfn.XLOOKUP(Table2[[#This Row],[First_egg_lay_date]],'19-20_niwa_temp_data'!B:B,'19-20_niwa_temp_data'!G:G, "No Match")</f>
        <v>14.419431334140747</v>
      </c>
    </row>
    <row r="259" spans="1:20" x14ac:dyDescent="0.35">
      <c r="A259" t="s">
        <v>9</v>
      </c>
      <c r="B259" t="s">
        <v>19</v>
      </c>
      <c r="C259" s="3" t="s">
        <v>108</v>
      </c>
      <c r="D259" t="str">
        <f>_xlfn.XLOOKUP(Table2[[#This Row],[Female_ID ]],'19-20_female_cohort'!I:I,'19-20_female_cohort'!H:H, "No Match")</f>
        <v>2014/2015</v>
      </c>
      <c r="E259">
        <v>5</v>
      </c>
      <c r="F259" s="11">
        <v>43772</v>
      </c>
      <c r="G259">
        <f>_xlfn.XLOOKUP(Table2[[#This Row],[First_egg_lay_date]],'19-20_niwa_temp_data'!B:B,'19-20_niwa_temp_data'!G:G, "No Match")</f>
        <v>14.419431334140747</v>
      </c>
      <c r="H259">
        <v>4</v>
      </c>
      <c r="I259" s="11">
        <v>43775</v>
      </c>
      <c r="J259">
        <f>_xlfn.XLOOKUP(Table2[[#This Row],[Nest_box_ID]],Sheet1!A:A,Sheet1!L:L, "No Match")</f>
        <v>0</v>
      </c>
      <c r="K259" s="11">
        <v>43789</v>
      </c>
      <c r="L259">
        <f>_xlfn.XLOOKUP(Table2[[#This Row],[Nest_box_ID]],Sheet1!A:A,Sheet1!K:K, "No Match")</f>
        <v>14</v>
      </c>
      <c r="M259" s="11">
        <v>43782</v>
      </c>
      <c r="N259" s="16">
        <v>0.61872685185185183</v>
      </c>
      <c r="O259">
        <v>7</v>
      </c>
      <c r="P259">
        <v>62.433333333333337</v>
      </c>
      <c r="Q259" t="s">
        <v>319</v>
      </c>
      <c r="R259">
        <v>359</v>
      </c>
      <c r="S259">
        <f>_xlfn.XLOOKUP(Table2[[#This Row],[Obs_date]],'19-20_niwa_temp_data'!B:B,'19-20_niwa_temp_data'!G:G, "N/A")</f>
        <v>11.944873377311289</v>
      </c>
      <c r="T259">
        <f>_xlfn.XLOOKUP(Table2[[#This Row],[First_egg_lay_date]],'19-20_niwa_temp_data'!B:B,'19-20_niwa_temp_data'!G:G, "No Match")</f>
        <v>14.419431334140747</v>
      </c>
    </row>
    <row r="260" spans="1:20" hidden="1" x14ac:dyDescent="0.35">
      <c r="A260" t="s">
        <v>9</v>
      </c>
      <c r="B260" t="s">
        <v>19</v>
      </c>
      <c r="C260" s="3" t="s">
        <v>108</v>
      </c>
      <c r="D260" t="str">
        <f>_xlfn.XLOOKUP(Table2[[#This Row],[Female_ID ]],'19-20_female_cohort'!I:I,'19-20_female_cohort'!H:H, "No Match")</f>
        <v>2014/2015</v>
      </c>
      <c r="E260">
        <v>5</v>
      </c>
      <c r="F260" s="11">
        <v>43772</v>
      </c>
      <c r="G260">
        <f>_xlfn.XLOOKUP(Table2[[#This Row],[First_egg_lay_date]],'19-20_niwa_temp_data'!B:B,'19-20_niwa_temp_data'!G:G, "No Match")</f>
        <v>14.419431334140747</v>
      </c>
      <c r="H260">
        <v>4</v>
      </c>
      <c r="I260" s="11">
        <v>43775</v>
      </c>
      <c r="J260">
        <f>_xlfn.XLOOKUP(Table2[[#This Row],[Nest_box_ID]],Sheet1!A:A,Sheet1!L:L, "No Match")</f>
        <v>0</v>
      </c>
      <c r="K260" s="11">
        <v>43789</v>
      </c>
      <c r="L260">
        <f>_xlfn.XLOOKUP(Table2[[#This Row],[Nest_box_ID]],Sheet1!A:A,Sheet1!K:K, "No Match")</f>
        <v>14</v>
      </c>
      <c r="M260" s="11">
        <v>43782</v>
      </c>
      <c r="N260" s="16">
        <v>0.62288194444444445</v>
      </c>
      <c r="O260">
        <v>7</v>
      </c>
      <c r="P260">
        <v>62.433333333333337</v>
      </c>
      <c r="Q260" t="s">
        <v>320</v>
      </c>
      <c r="R260" t="s">
        <v>254</v>
      </c>
      <c r="S260">
        <f>_xlfn.XLOOKUP(Table2[[#This Row],[Obs_date]],'19-20_niwa_temp_data'!B:B,'19-20_niwa_temp_data'!G:G, "N/A")</f>
        <v>11.944873377311289</v>
      </c>
      <c r="T260">
        <f>_xlfn.XLOOKUP(Table2[[#This Row],[First_egg_lay_date]],'19-20_niwa_temp_data'!B:B,'19-20_niwa_temp_data'!G:G, "No Match")</f>
        <v>14.419431334140747</v>
      </c>
    </row>
    <row r="261" spans="1:20" x14ac:dyDescent="0.35">
      <c r="A261" t="s">
        <v>9</v>
      </c>
      <c r="B261" t="s">
        <v>41</v>
      </c>
      <c r="C261" s="3" t="s">
        <v>130</v>
      </c>
      <c r="D261" t="str">
        <f>_xlfn.XLOOKUP(Table2[[#This Row],[Female_ID ]],'19-20_female_cohort'!I:I,'19-20_female_cohort'!H:H, "No Match")</f>
        <v>2018/2019</v>
      </c>
      <c r="E261">
        <v>1</v>
      </c>
      <c r="F261" s="11">
        <v>43779</v>
      </c>
      <c r="G261">
        <f>_xlfn.XLOOKUP(Table2[[#This Row],[First_egg_lay_date]],'19-20_niwa_temp_data'!B:B,'19-20_niwa_temp_data'!G:G, "No Match")</f>
        <v>17.618172436436193</v>
      </c>
      <c r="H261">
        <v>3</v>
      </c>
      <c r="I261" s="11">
        <v>43781</v>
      </c>
      <c r="J261">
        <f>_xlfn.XLOOKUP(Table2[[#This Row],[Nest_box_ID]],Sheet1!A:A,Sheet1!L:L, "No Match")</f>
        <v>0</v>
      </c>
      <c r="K261" s="11">
        <v>43796</v>
      </c>
      <c r="L261">
        <f>_xlfn.XLOOKUP(Table2[[#This Row],[Nest_box_ID]],Sheet1!A:A,Sheet1!K:K, "No Match")</f>
        <v>15</v>
      </c>
      <c r="M261" s="11">
        <v>43783</v>
      </c>
      <c r="N261" s="16">
        <v>0.64280092592592597</v>
      </c>
      <c r="O261">
        <v>1</v>
      </c>
      <c r="P261">
        <v>34.366666670000001</v>
      </c>
      <c r="Q261" t="s">
        <v>319</v>
      </c>
      <c r="R261">
        <v>285</v>
      </c>
      <c r="S261">
        <f>_xlfn.XLOOKUP(Table2[[#This Row],[Obs_date]],'19-20_niwa_temp_data'!B:B,'19-20_niwa_temp_data'!G:G, "N/A")</f>
        <v>16.095962226595837</v>
      </c>
      <c r="T261">
        <f>_xlfn.XLOOKUP(Table2[[#This Row],[First_egg_lay_date]],'19-20_niwa_temp_data'!B:B,'19-20_niwa_temp_data'!G:G, "No Match")</f>
        <v>17.618172436436193</v>
      </c>
    </row>
    <row r="262" spans="1:20" hidden="1" x14ac:dyDescent="0.35">
      <c r="A262" t="s">
        <v>9</v>
      </c>
      <c r="B262" t="s">
        <v>41</v>
      </c>
      <c r="C262" s="3" t="s">
        <v>130</v>
      </c>
      <c r="D262" t="str">
        <f>_xlfn.XLOOKUP(Table2[[#This Row],[Female_ID ]],'19-20_female_cohort'!I:I,'19-20_female_cohort'!H:H, "No Match")</f>
        <v>2018/2019</v>
      </c>
      <c r="E262">
        <v>1</v>
      </c>
      <c r="F262" s="11">
        <v>43779</v>
      </c>
      <c r="G262">
        <f>_xlfn.XLOOKUP(Table2[[#This Row],[First_egg_lay_date]],'19-20_niwa_temp_data'!B:B,'19-20_niwa_temp_data'!G:G, "No Match")</f>
        <v>17.618172436436193</v>
      </c>
      <c r="H262">
        <v>3</v>
      </c>
      <c r="I262" s="11">
        <v>43781</v>
      </c>
      <c r="J262">
        <f>_xlfn.XLOOKUP(Table2[[#This Row],[Nest_box_ID]],Sheet1!A:A,Sheet1!L:L, "No Match")</f>
        <v>0</v>
      </c>
      <c r="K262" s="11">
        <v>43796</v>
      </c>
      <c r="L262">
        <f>_xlfn.XLOOKUP(Table2[[#This Row],[Nest_box_ID]],Sheet1!A:A,Sheet1!K:K, "No Match")</f>
        <v>15</v>
      </c>
      <c r="M262" s="11">
        <v>43783</v>
      </c>
      <c r="N262" s="16">
        <v>0.64609953703703704</v>
      </c>
      <c r="O262">
        <v>1</v>
      </c>
      <c r="P262">
        <v>34.366666670000001</v>
      </c>
      <c r="Q262" t="s">
        <v>320</v>
      </c>
      <c r="R262">
        <v>689</v>
      </c>
      <c r="S262">
        <f>_xlfn.XLOOKUP(Table2[[#This Row],[Obs_date]],'19-20_niwa_temp_data'!B:B,'19-20_niwa_temp_data'!G:G, "N/A")</f>
        <v>16.095962226595837</v>
      </c>
      <c r="T262">
        <f>_xlfn.XLOOKUP(Table2[[#This Row],[First_egg_lay_date]],'19-20_niwa_temp_data'!B:B,'19-20_niwa_temp_data'!G:G, "No Match")</f>
        <v>17.618172436436193</v>
      </c>
    </row>
    <row r="263" spans="1:20" x14ac:dyDescent="0.35">
      <c r="A263" t="s">
        <v>9</v>
      </c>
      <c r="B263" t="s">
        <v>41</v>
      </c>
      <c r="C263" s="3" t="s">
        <v>130</v>
      </c>
      <c r="D263" t="str">
        <f>_xlfn.XLOOKUP(Table2[[#This Row],[Female_ID ]],'19-20_female_cohort'!I:I,'19-20_female_cohort'!H:H, "No Match")</f>
        <v>2018/2019</v>
      </c>
      <c r="E263">
        <v>1</v>
      </c>
      <c r="F263" s="11">
        <v>43779</v>
      </c>
      <c r="G263">
        <f>_xlfn.XLOOKUP(Table2[[#This Row],[First_egg_lay_date]],'19-20_niwa_temp_data'!B:B,'19-20_niwa_temp_data'!G:G, "No Match")</f>
        <v>17.618172436436193</v>
      </c>
      <c r="H263">
        <v>3</v>
      </c>
      <c r="I263" s="11">
        <v>43781</v>
      </c>
      <c r="J263">
        <f>_xlfn.XLOOKUP(Table2[[#This Row],[Nest_box_ID]],Sheet1!A:A,Sheet1!L:L, "No Match")</f>
        <v>0</v>
      </c>
      <c r="K263" s="11">
        <v>43796</v>
      </c>
      <c r="L263">
        <f>_xlfn.XLOOKUP(Table2[[#This Row],[Nest_box_ID]],Sheet1!A:A,Sheet1!K:K, "No Match")</f>
        <v>15</v>
      </c>
      <c r="M263" s="11">
        <v>43783</v>
      </c>
      <c r="N263" s="16">
        <v>0.65407407407407403</v>
      </c>
      <c r="O263">
        <v>1</v>
      </c>
      <c r="P263">
        <v>34.366666670000001</v>
      </c>
      <c r="Q263" t="s">
        <v>319</v>
      </c>
      <c r="R263">
        <v>281</v>
      </c>
      <c r="S263">
        <f>_xlfn.XLOOKUP(Table2[[#This Row],[Obs_date]],'19-20_niwa_temp_data'!B:B,'19-20_niwa_temp_data'!G:G, "N/A")</f>
        <v>16.095962226595837</v>
      </c>
      <c r="T263">
        <f>_xlfn.XLOOKUP(Table2[[#This Row],[First_egg_lay_date]],'19-20_niwa_temp_data'!B:B,'19-20_niwa_temp_data'!G:G, "No Match")</f>
        <v>17.618172436436193</v>
      </c>
    </row>
    <row r="264" spans="1:20" hidden="1" x14ac:dyDescent="0.35">
      <c r="A264" t="s">
        <v>9</v>
      </c>
      <c r="B264" t="s">
        <v>41</v>
      </c>
      <c r="C264" s="3" t="s">
        <v>130</v>
      </c>
      <c r="D264" t="str">
        <f>_xlfn.XLOOKUP(Table2[[#This Row],[Female_ID ]],'19-20_female_cohort'!I:I,'19-20_female_cohort'!H:H, "No Match")</f>
        <v>2018/2019</v>
      </c>
      <c r="E264">
        <v>1</v>
      </c>
      <c r="F264" s="11">
        <v>43779</v>
      </c>
      <c r="G264">
        <f>_xlfn.XLOOKUP(Table2[[#This Row],[First_egg_lay_date]],'19-20_niwa_temp_data'!B:B,'19-20_niwa_temp_data'!G:G, "No Match")</f>
        <v>17.618172436436193</v>
      </c>
      <c r="H264">
        <v>3</v>
      </c>
      <c r="I264" s="11">
        <v>43781</v>
      </c>
      <c r="J264">
        <f>_xlfn.XLOOKUP(Table2[[#This Row],[Nest_box_ID]],Sheet1!A:A,Sheet1!L:L, "No Match")</f>
        <v>0</v>
      </c>
      <c r="K264" s="11">
        <v>43796</v>
      </c>
      <c r="L264">
        <f>_xlfn.XLOOKUP(Table2[[#This Row],[Nest_box_ID]],Sheet1!A:A,Sheet1!K:K, "No Match")</f>
        <v>15</v>
      </c>
      <c r="M264" s="11">
        <v>43783</v>
      </c>
      <c r="N264" s="16">
        <v>0.65732638888888884</v>
      </c>
      <c r="O264">
        <v>1</v>
      </c>
      <c r="P264">
        <v>34.366666670000001</v>
      </c>
      <c r="Q264" t="s">
        <v>320</v>
      </c>
      <c r="R264" t="s">
        <v>254</v>
      </c>
      <c r="S264">
        <f>_xlfn.XLOOKUP(Table2[[#This Row],[Obs_date]],'19-20_niwa_temp_data'!B:B,'19-20_niwa_temp_data'!G:G, "N/A")</f>
        <v>16.095962226595837</v>
      </c>
      <c r="T264">
        <f>_xlfn.XLOOKUP(Table2[[#This Row],[First_egg_lay_date]],'19-20_niwa_temp_data'!B:B,'19-20_niwa_temp_data'!G:G, "No Match")</f>
        <v>17.618172436436193</v>
      </c>
    </row>
    <row r="265" spans="1:20" hidden="1" x14ac:dyDescent="0.35">
      <c r="A265" t="s">
        <v>9</v>
      </c>
      <c r="B265" t="s">
        <v>41</v>
      </c>
      <c r="C265" s="3" t="s">
        <v>130</v>
      </c>
      <c r="D265" t="str">
        <f>_xlfn.XLOOKUP(Table2[[#This Row],[Female_ID ]],'19-20_female_cohort'!I:I,'19-20_female_cohort'!H:H, "No Match")</f>
        <v>2018/2019</v>
      </c>
      <c r="E265">
        <v>1</v>
      </c>
      <c r="F265" s="11">
        <v>43779</v>
      </c>
      <c r="G265">
        <f>_xlfn.XLOOKUP(Table2[[#This Row],[First_egg_lay_date]],'19-20_niwa_temp_data'!B:B,'19-20_niwa_temp_data'!G:G, "No Match")</f>
        <v>17.618172436436193</v>
      </c>
      <c r="H265">
        <v>3</v>
      </c>
      <c r="I265" s="11">
        <v>43781</v>
      </c>
      <c r="J265">
        <f>_xlfn.XLOOKUP(Table2[[#This Row],[Nest_box_ID]],Sheet1!A:A,Sheet1!L:L, "No Match")</f>
        <v>0</v>
      </c>
      <c r="K265" s="11">
        <v>43796</v>
      </c>
      <c r="L265">
        <f>_xlfn.XLOOKUP(Table2[[#This Row],[Nest_box_ID]],Sheet1!A:A,Sheet1!K:K, "No Match")</f>
        <v>15</v>
      </c>
      <c r="M265" s="11">
        <v>43794</v>
      </c>
      <c r="N265" s="16">
        <v>0.46883101851851849</v>
      </c>
      <c r="O265">
        <v>13</v>
      </c>
      <c r="P265">
        <v>79</v>
      </c>
      <c r="Q265" t="s">
        <v>320</v>
      </c>
      <c r="R265">
        <v>191</v>
      </c>
      <c r="S265">
        <f>_xlfn.XLOOKUP(Table2[[#This Row],[Obs_date]],'19-20_niwa_temp_data'!B:B,'19-20_niwa_temp_data'!G:G, "N/A")</f>
        <v>16.725429740368405</v>
      </c>
      <c r="T265">
        <f>_xlfn.XLOOKUP(Table2[[#This Row],[First_egg_lay_date]],'19-20_niwa_temp_data'!B:B,'19-20_niwa_temp_data'!G:G, "No Match")</f>
        <v>17.618172436436193</v>
      </c>
    </row>
    <row r="266" spans="1:20" x14ac:dyDescent="0.35">
      <c r="A266" t="s">
        <v>9</v>
      </c>
      <c r="B266" t="s">
        <v>41</v>
      </c>
      <c r="C266" s="3" t="s">
        <v>130</v>
      </c>
      <c r="D266" t="str">
        <f>_xlfn.XLOOKUP(Table2[[#This Row],[Female_ID ]],'19-20_female_cohort'!I:I,'19-20_female_cohort'!H:H, "No Match")</f>
        <v>2018/2019</v>
      </c>
      <c r="E266">
        <v>1</v>
      </c>
      <c r="F266" s="11">
        <v>43779</v>
      </c>
      <c r="G266">
        <f>_xlfn.XLOOKUP(Table2[[#This Row],[First_egg_lay_date]],'19-20_niwa_temp_data'!B:B,'19-20_niwa_temp_data'!G:G, "No Match")</f>
        <v>17.618172436436193</v>
      </c>
      <c r="H266">
        <v>3</v>
      </c>
      <c r="I266" s="11">
        <v>43781</v>
      </c>
      <c r="J266">
        <f>_xlfn.XLOOKUP(Table2[[#This Row],[Nest_box_ID]],Sheet1!A:A,Sheet1!L:L, "No Match")</f>
        <v>0</v>
      </c>
      <c r="K266" s="11">
        <v>43796</v>
      </c>
      <c r="L266">
        <f>_xlfn.XLOOKUP(Table2[[#This Row],[Nest_box_ID]],Sheet1!A:A,Sheet1!K:K, "No Match")</f>
        <v>15</v>
      </c>
      <c r="M266" s="11">
        <v>43794</v>
      </c>
      <c r="N266" s="16">
        <v>0.47104166666666669</v>
      </c>
      <c r="O266">
        <v>13</v>
      </c>
      <c r="P266">
        <v>79</v>
      </c>
      <c r="Q266" t="s">
        <v>319</v>
      </c>
      <c r="R266">
        <v>270</v>
      </c>
      <c r="S266">
        <f>_xlfn.XLOOKUP(Table2[[#This Row],[Obs_date]],'19-20_niwa_temp_data'!B:B,'19-20_niwa_temp_data'!G:G, "N/A")</f>
        <v>16.725429740368405</v>
      </c>
      <c r="T266">
        <f>_xlfn.XLOOKUP(Table2[[#This Row],[First_egg_lay_date]],'19-20_niwa_temp_data'!B:B,'19-20_niwa_temp_data'!G:G, "No Match")</f>
        <v>17.618172436436193</v>
      </c>
    </row>
    <row r="267" spans="1:20" hidden="1" x14ac:dyDescent="0.35">
      <c r="A267" t="s">
        <v>9</v>
      </c>
      <c r="B267" t="s">
        <v>41</v>
      </c>
      <c r="C267" s="3" t="s">
        <v>130</v>
      </c>
      <c r="D267" t="str">
        <f>_xlfn.XLOOKUP(Table2[[#This Row],[Female_ID ]],'19-20_female_cohort'!I:I,'19-20_female_cohort'!H:H, "No Match")</f>
        <v>2018/2019</v>
      </c>
      <c r="E267">
        <v>1</v>
      </c>
      <c r="F267" s="11">
        <v>43779</v>
      </c>
      <c r="G267">
        <f>_xlfn.XLOOKUP(Table2[[#This Row],[First_egg_lay_date]],'19-20_niwa_temp_data'!B:B,'19-20_niwa_temp_data'!G:G, "No Match")</f>
        <v>17.618172436436193</v>
      </c>
      <c r="H267">
        <v>3</v>
      </c>
      <c r="I267" s="11">
        <v>43781</v>
      </c>
      <c r="J267">
        <f>_xlfn.XLOOKUP(Table2[[#This Row],[Nest_box_ID]],Sheet1!A:A,Sheet1!L:L, "No Match")</f>
        <v>0</v>
      </c>
      <c r="K267" s="11">
        <v>43796</v>
      </c>
      <c r="L267">
        <f>_xlfn.XLOOKUP(Table2[[#This Row],[Nest_box_ID]],Sheet1!A:A,Sheet1!K:K, "No Match")</f>
        <v>15</v>
      </c>
      <c r="M267" s="11">
        <v>43794</v>
      </c>
      <c r="N267" s="16">
        <v>0.47416666666666668</v>
      </c>
      <c r="O267">
        <v>13</v>
      </c>
      <c r="P267">
        <v>79</v>
      </c>
      <c r="Q267" t="s">
        <v>320</v>
      </c>
      <c r="R267">
        <v>915</v>
      </c>
      <c r="S267">
        <f>_xlfn.XLOOKUP(Table2[[#This Row],[Obs_date]],'19-20_niwa_temp_data'!B:B,'19-20_niwa_temp_data'!G:G, "N/A")</f>
        <v>16.725429740368405</v>
      </c>
      <c r="T267">
        <f>_xlfn.XLOOKUP(Table2[[#This Row],[First_egg_lay_date]],'19-20_niwa_temp_data'!B:B,'19-20_niwa_temp_data'!G:G, "No Match")</f>
        <v>17.618172436436193</v>
      </c>
    </row>
    <row r="268" spans="1:20" x14ac:dyDescent="0.35">
      <c r="A268" t="s">
        <v>9</v>
      </c>
      <c r="B268" t="s">
        <v>41</v>
      </c>
      <c r="C268" s="3" t="s">
        <v>130</v>
      </c>
      <c r="D268" t="str">
        <f>_xlfn.XLOOKUP(Table2[[#This Row],[Female_ID ]],'19-20_female_cohort'!I:I,'19-20_female_cohort'!H:H, "No Match")</f>
        <v>2018/2019</v>
      </c>
      <c r="E268">
        <v>1</v>
      </c>
      <c r="F268" s="11">
        <v>43779</v>
      </c>
      <c r="G268">
        <f>_xlfn.XLOOKUP(Table2[[#This Row],[First_egg_lay_date]],'19-20_niwa_temp_data'!B:B,'19-20_niwa_temp_data'!G:G, "No Match")</f>
        <v>17.618172436436193</v>
      </c>
      <c r="H268">
        <v>3</v>
      </c>
      <c r="I268" s="11">
        <v>43781</v>
      </c>
      <c r="J268">
        <f>_xlfn.XLOOKUP(Table2[[#This Row],[Nest_box_ID]],Sheet1!A:A,Sheet1!L:L, "No Match")</f>
        <v>0</v>
      </c>
      <c r="K268" s="11">
        <v>43796</v>
      </c>
      <c r="L268">
        <f>_xlfn.XLOOKUP(Table2[[#This Row],[Nest_box_ID]],Sheet1!A:A,Sheet1!K:K, "No Match")</f>
        <v>15</v>
      </c>
      <c r="M268" s="11">
        <v>43794</v>
      </c>
      <c r="N268" s="16">
        <v>0.48475694444444445</v>
      </c>
      <c r="O268">
        <v>13</v>
      </c>
      <c r="P268">
        <v>79</v>
      </c>
      <c r="Q268" t="s">
        <v>319</v>
      </c>
      <c r="R268">
        <v>280</v>
      </c>
      <c r="S268">
        <f>_xlfn.XLOOKUP(Table2[[#This Row],[Obs_date]],'19-20_niwa_temp_data'!B:B,'19-20_niwa_temp_data'!G:G, "N/A")</f>
        <v>16.725429740368405</v>
      </c>
      <c r="T268">
        <f>_xlfn.XLOOKUP(Table2[[#This Row],[First_egg_lay_date]],'19-20_niwa_temp_data'!B:B,'19-20_niwa_temp_data'!G:G, "No Match")</f>
        <v>17.618172436436193</v>
      </c>
    </row>
    <row r="269" spans="1:20" hidden="1" x14ac:dyDescent="0.35">
      <c r="A269" t="s">
        <v>9</v>
      </c>
      <c r="B269" t="s">
        <v>41</v>
      </c>
      <c r="C269" s="3" t="s">
        <v>130</v>
      </c>
      <c r="D269" t="str">
        <f>_xlfn.XLOOKUP(Table2[[#This Row],[Female_ID ]],'19-20_female_cohort'!I:I,'19-20_female_cohort'!H:H, "No Match")</f>
        <v>2018/2019</v>
      </c>
      <c r="E269">
        <v>1</v>
      </c>
      <c r="F269" s="11">
        <v>43779</v>
      </c>
      <c r="G269">
        <f>_xlfn.XLOOKUP(Table2[[#This Row],[First_egg_lay_date]],'19-20_niwa_temp_data'!B:B,'19-20_niwa_temp_data'!G:G, "No Match")</f>
        <v>17.618172436436193</v>
      </c>
      <c r="H269">
        <v>3</v>
      </c>
      <c r="I269" s="11">
        <v>43781</v>
      </c>
      <c r="J269">
        <f>_xlfn.XLOOKUP(Table2[[#This Row],[Nest_box_ID]],Sheet1!A:A,Sheet1!L:L, "No Match")</f>
        <v>0</v>
      </c>
      <c r="K269" s="11">
        <v>43796</v>
      </c>
      <c r="L269">
        <f>_xlfn.XLOOKUP(Table2[[#This Row],[Nest_box_ID]],Sheet1!A:A,Sheet1!K:K, "No Match")</f>
        <v>15</v>
      </c>
      <c r="M269" s="11">
        <v>43794</v>
      </c>
      <c r="N269" s="16">
        <v>0.48799768518518516</v>
      </c>
      <c r="O269">
        <v>13</v>
      </c>
      <c r="P269">
        <v>79</v>
      </c>
      <c r="Q269" t="s">
        <v>320</v>
      </c>
      <c r="R269">
        <v>17</v>
      </c>
      <c r="S269">
        <f>_xlfn.XLOOKUP(Table2[[#This Row],[Obs_date]],'19-20_niwa_temp_data'!B:B,'19-20_niwa_temp_data'!G:G, "N/A")</f>
        <v>16.725429740368405</v>
      </c>
      <c r="T269">
        <f>_xlfn.XLOOKUP(Table2[[#This Row],[First_egg_lay_date]],'19-20_niwa_temp_data'!B:B,'19-20_niwa_temp_data'!G:G, "No Match")</f>
        <v>17.618172436436193</v>
      </c>
    </row>
    <row r="270" spans="1:20" x14ac:dyDescent="0.35">
      <c r="A270" t="s">
        <v>9</v>
      </c>
      <c r="B270" t="s">
        <v>41</v>
      </c>
      <c r="C270" s="3" t="s">
        <v>130</v>
      </c>
      <c r="D270" t="str">
        <f>_xlfn.XLOOKUP(Table2[[#This Row],[Female_ID ]],'19-20_female_cohort'!I:I,'19-20_female_cohort'!H:H, "No Match")</f>
        <v>2018/2019</v>
      </c>
      <c r="E270">
        <v>1</v>
      </c>
      <c r="F270" s="11">
        <v>43779</v>
      </c>
      <c r="G270">
        <f>_xlfn.XLOOKUP(Table2[[#This Row],[First_egg_lay_date]],'19-20_niwa_temp_data'!B:B,'19-20_niwa_temp_data'!G:G, "No Match")</f>
        <v>17.618172436436193</v>
      </c>
      <c r="H270">
        <v>3</v>
      </c>
      <c r="I270" s="11">
        <v>43781</v>
      </c>
      <c r="J270">
        <f>_xlfn.XLOOKUP(Table2[[#This Row],[Nest_box_ID]],Sheet1!A:A,Sheet1!L:L, "No Match")</f>
        <v>0</v>
      </c>
      <c r="K270" s="11">
        <v>43796</v>
      </c>
      <c r="L270">
        <f>_xlfn.XLOOKUP(Table2[[#This Row],[Nest_box_ID]],Sheet1!A:A,Sheet1!K:K, "No Match")</f>
        <v>15</v>
      </c>
      <c r="M270" s="11">
        <v>43794</v>
      </c>
      <c r="N270" s="16">
        <v>0.48819444444444443</v>
      </c>
      <c r="O270">
        <v>13</v>
      </c>
      <c r="P270">
        <v>79</v>
      </c>
      <c r="Q270" t="s">
        <v>319</v>
      </c>
      <c r="R270">
        <v>60</v>
      </c>
      <c r="S270">
        <f>_xlfn.XLOOKUP(Table2[[#This Row],[Obs_date]],'19-20_niwa_temp_data'!B:B,'19-20_niwa_temp_data'!G:G, "N/A")</f>
        <v>16.725429740368405</v>
      </c>
      <c r="T270">
        <f>_xlfn.XLOOKUP(Table2[[#This Row],[First_egg_lay_date]],'19-20_niwa_temp_data'!B:B,'19-20_niwa_temp_data'!G:G, "No Match")</f>
        <v>17.618172436436193</v>
      </c>
    </row>
    <row r="271" spans="1:20" hidden="1" x14ac:dyDescent="0.35">
      <c r="A271" t="s">
        <v>9</v>
      </c>
      <c r="B271" t="s">
        <v>41</v>
      </c>
      <c r="C271" s="3" t="s">
        <v>130</v>
      </c>
      <c r="D271" t="str">
        <f>_xlfn.XLOOKUP(Table2[[#This Row],[Female_ID ]],'19-20_female_cohort'!I:I,'19-20_female_cohort'!H:H, "No Match")</f>
        <v>2018/2019</v>
      </c>
      <c r="E271">
        <v>1</v>
      </c>
      <c r="F271" s="11">
        <v>43779</v>
      </c>
      <c r="G271">
        <f>_xlfn.XLOOKUP(Table2[[#This Row],[First_egg_lay_date]],'19-20_niwa_temp_data'!B:B,'19-20_niwa_temp_data'!G:G, "No Match")</f>
        <v>17.618172436436193</v>
      </c>
      <c r="H271">
        <v>3</v>
      </c>
      <c r="I271" s="11">
        <v>43781</v>
      </c>
      <c r="J271">
        <f>_xlfn.XLOOKUP(Table2[[#This Row],[Nest_box_ID]],Sheet1!A:A,Sheet1!L:L, "No Match")</f>
        <v>0</v>
      </c>
      <c r="K271" s="11">
        <v>43796</v>
      </c>
      <c r="L271">
        <f>_xlfn.XLOOKUP(Table2[[#This Row],[Nest_box_ID]],Sheet1!A:A,Sheet1!K:K, "No Match")</f>
        <v>15</v>
      </c>
      <c r="M271" s="11">
        <v>43794</v>
      </c>
      <c r="N271" s="16">
        <v>0.48888888888888887</v>
      </c>
      <c r="O271">
        <v>13</v>
      </c>
      <c r="P271">
        <v>79</v>
      </c>
      <c r="Q271" t="s">
        <v>320</v>
      </c>
      <c r="R271">
        <v>245</v>
      </c>
      <c r="S271">
        <f>_xlfn.XLOOKUP(Table2[[#This Row],[Obs_date]],'19-20_niwa_temp_data'!B:B,'19-20_niwa_temp_data'!G:G, "N/A")</f>
        <v>16.725429740368405</v>
      </c>
      <c r="T271">
        <f>_xlfn.XLOOKUP(Table2[[#This Row],[First_egg_lay_date]],'19-20_niwa_temp_data'!B:B,'19-20_niwa_temp_data'!G:G, "No Match")</f>
        <v>17.618172436436193</v>
      </c>
    </row>
    <row r="272" spans="1:20" x14ac:dyDescent="0.35">
      <c r="A272" t="s">
        <v>9</v>
      </c>
      <c r="B272" t="s">
        <v>41</v>
      </c>
      <c r="C272" s="3" t="s">
        <v>130</v>
      </c>
      <c r="D272" t="str">
        <f>_xlfn.XLOOKUP(Table2[[#This Row],[Female_ID ]],'19-20_female_cohort'!I:I,'19-20_female_cohort'!H:H, "No Match")</f>
        <v>2018/2019</v>
      </c>
      <c r="E272">
        <v>1</v>
      </c>
      <c r="F272" s="11">
        <v>43779</v>
      </c>
      <c r="G272">
        <f>_xlfn.XLOOKUP(Table2[[#This Row],[First_egg_lay_date]],'19-20_niwa_temp_data'!B:B,'19-20_niwa_temp_data'!G:G, "No Match")</f>
        <v>17.618172436436193</v>
      </c>
      <c r="H272">
        <v>3</v>
      </c>
      <c r="I272" s="11">
        <v>43781</v>
      </c>
      <c r="J272">
        <f>_xlfn.XLOOKUP(Table2[[#This Row],[Nest_box_ID]],Sheet1!A:A,Sheet1!L:L, "No Match")</f>
        <v>0</v>
      </c>
      <c r="K272" s="11">
        <v>43796</v>
      </c>
      <c r="L272">
        <f>_xlfn.XLOOKUP(Table2[[#This Row],[Nest_box_ID]],Sheet1!A:A,Sheet1!K:K, "No Match")</f>
        <v>15</v>
      </c>
      <c r="M272" s="11">
        <v>43794</v>
      </c>
      <c r="N272" s="16">
        <v>0.49172453703703706</v>
      </c>
      <c r="O272">
        <v>13</v>
      </c>
      <c r="P272">
        <v>79</v>
      </c>
      <c r="Q272" t="s">
        <v>319</v>
      </c>
      <c r="R272">
        <v>221</v>
      </c>
      <c r="S272">
        <f>_xlfn.XLOOKUP(Table2[[#This Row],[Obs_date]],'19-20_niwa_temp_data'!B:B,'19-20_niwa_temp_data'!G:G, "N/A")</f>
        <v>16.725429740368405</v>
      </c>
      <c r="T272">
        <f>_xlfn.XLOOKUP(Table2[[#This Row],[First_egg_lay_date]],'19-20_niwa_temp_data'!B:B,'19-20_niwa_temp_data'!G:G, "No Match")</f>
        <v>17.618172436436193</v>
      </c>
    </row>
    <row r="273" spans="1:20" hidden="1" x14ac:dyDescent="0.35">
      <c r="A273" t="s">
        <v>9</v>
      </c>
      <c r="B273" t="s">
        <v>41</v>
      </c>
      <c r="C273" s="3" t="s">
        <v>130</v>
      </c>
      <c r="D273" t="str">
        <f>_xlfn.XLOOKUP(Table2[[#This Row],[Female_ID ]],'19-20_female_cohort'!I:I,'19-20_female_cohort'!H:H, "No Match")</f>
        <v>2018/2019</v>
      </c>
      <c r="E273">
        <v>1</v>
      </c>
      <c r="F273" s="11">
        <v>43779</v>
      </c>
      <c r="G273">
        <f>_xlfn.XLOOKUP(Table2[[#This Row],[First_egg_lay_date]],'19-20_niwa_temp_data'!B:B,'19-20_niwa_temp_data'!G:G, "No Match")</f>
        <v>17.618172436436193</v>
      </c>
      <c r="H273">
        <v>3</v>
      </c>
      <c r="I273" s="11">
        <v>43781</v>
      </c>
      <c r="J273">
        <f>_xlfn.XLOOKUP(Table2[[#This Row],[Nest_box_ID]],Sheet1!A:A,Sheet1!L:L, "No Match")</f>
        <v>0</v>
      </c>
      <c r="K273" s="11">
        <v>43796</v>
      </c>
      <c r="L273">
        <f>_xlfn.XLOOKUP(Table2[[#This Row],[Nest_box_ID]],Sheet1!A:A,Sheet1!K:K, "No Match")</f>
        <v>15</v>
      </c>
      <c r="M273" s="11">
        <v>43794</v>
      </c>
      <c r="N273" s="16">
        <v>0.49428240740740742</v>
      </c>
      <c r="O273">
        <v>13</v>
      </c>
      <c r="P273">
        <v>79</v>
      </c>
      <c r="Q273" t="s">
        <v>320</v>
      </c>
      <c r="R273">
        <v>360</v>
      </c>
      <c r="S273">
        <f>_xlfn.XLOOKUP(Table2[[#This Row],[Obs_date]],'19-20_niwa_temp_data'!B:B,'19-20_niwa_temp_data'!G:G, "N/A")</f>
        <v>16.725429740368405</v>
      </c>
      <c r="T273">
        <f>_xlfn.XLOOKUP(Table2[[#This Row],[First_egg_lay_date]],'19-20_niwa_temp_data'!B:B,'19-20_niwa_temp_data'!G:G, "No Match")</f>
        <v>17.618172436436193</v>
      </c>
    </row>
    <row r="274" spans="1:20" x14ac:dyDescent="0.35">
      <c r="A274" t="s">
        <v>9</v>
      </c>
      <c r="B274" t="s">
        <v>41</v>
      </c>
      <c r="C274" s="3" t="s">
        <v>130</v>
      </c>
      <c r="D274" t="str">
        <f>_xlfn.XLOOKUP(Table2[[#This Row],[Female_ID ]],'19-20_female_cohort'!I:I,'19-20_female_cohort'!H:H, "No Match")</f>
        <v>2018/2019</v>
      </c>
      <c r="E274">
        <v>1</v>
      </c>
      <c r="F274" s="11">
        <v>43779</v>
      </c>
      <c r="G274">
        <f>_xlfn.XLOOKUP(Table2[[#This Row],[First_egg_lay_date]],'19-20_niwa_temp_data'!B:B,'19-20_niwa_temp_data'!G:G, "No Match")</f>
        <v>17.618172436436193</v>
      </c>
      <c r="H274">
        <v>3</v>
      </c>
      <c r="I274" s="11">
        <v>43781</v>
      </c>
      <c r="J274">
        <f>_xlfn.XLOOKUP(Table2[[#This Row],[Nest_box_ID]],Sheet1!A:A,Sheet1!L:L, "No Match")</f>
        <v>0</v>
      </c>
      <c r="K274" s="11">
        <v>43796</v>
      </c>
      <c r="L274">
        <f>_xlfn.XLOOKUP(Table2[[#This Row],[Nest_box_ID]],Sheet1!A:A,Sheet1!K:K, "No Match")</f>
        <v>15</v>
      </c>
      <c r="M274" s="11">
        <v>43794</v>
      </c>
      <c r="N274" s="16">
        <v>0.49844907407407407</v>
      </c>
      <c r="O274">
        <v>13</v>
      </c>
      <c r="P274">
        <v>79</v>
      </c>
      <c r="Q274" t="s">
        <v>319</v>
      </c>
      <c r="R274">
        <v>194</v>
      </c>
      <c r="S274">
        <f>_xlfn.XLOOKUP(Table2[[#This Row],[Obs_date]],'19-20_niwa_temp_data'!B:B,'19-20_niwa_temp_data'!G:G, "N/A")</f>
        <v>16.725429740368405</v>
      </c>
      <c r="T274">
        <f>_xlfn.XLOOKUP(Table2[[#This Row],[First_egg_lay_date]],'19-20_niwa_temp_data'!B:B,'19-20_niwa_temp_data'!G:G, "No Match")</f>
        <v>17.618172436436193</v>
      </c>
    </row>
    <row r="275" spans="1:20" hidden="1" x14ac:dyDescent="0.35">
      <c r="A275" t="s">
        <v>9</v>
      </c>
      <c r="B275" t="s">
        <v>41</v>
      </c>
      <c r="C275" s="3" t="s">
        <v>130</v>
      </c>
      <c r="D275" t="str">
        <f>_xlfn.XLOOKUP(Table2[[#This Row],[Female_ID ]],'19-20_female_cohort'!I:I,'19-20_female_cohort'!H:H, "No Match")</f>
        <v>2018/2019</v>
      </c>
      <c r="E275">
        <v>1</v>
      </c>
      <c r="F275" s="11">
        <v>43779</v>
      </c>
      <c r="G275">
        <f>_xlfn.XLOOKUP(Table2[[#This Row],[First_egg_lay_date]],'19-20_niwa_temp_data'!B:B,'19-20_niwa_temp_data'!G:G, "No Match")</f>
        <v>17.618172436436193</v>
      </c>
      <c r="H275">
        <v>3</v>
      </c>
      <c r="I275" s="11">
        <v>43781</v>
      </c>
      <c r="J275">
        <f>_xlfn.XLOOKUP(Table2[[#This Row],[Nest_box_ID]],Sheet1!A:A,Sheet1!L:L, "No Match")</f>
        <v>0</v>
      </c>
      <c r="K275" s="11">
        <v>43796</v>
      </c>
      <c r="L275">
        <f>_xlfn.XLOOKUP(Table2[[#This Row],[Nest_box_ID]],Sheet1!A:A,Sheet1!K:K, "No Match")</f>
        <v>15</v>
      </c>
      <c r="M275" s="11">
        <v>43794</v>
      </c>
      <c r="N275" s="16">
        <v>0.50069444444444444</v>
      </c>
      <c r="O275">
        <v>13</v>
      </c>
      <c r="P275">
        <v>79</v>
      </c>
      <c r="Q275" t="s">
        <v>320</v>
      </c>
      <c r="R275">
        <v>212</v>
      </c>
      <c r="S275">
        <f>_xlfn.XLOOKUP(Table2[[#This Row],[Obs_date]],'19-20_niwa_temp_data'!B:B,'19-20_niwa_temp_data'!G:G, "N/A")</f>
        <v>16.725429740368405</v>
      </c>
      <c r="T275">
        <f>_xlfn.XLOOKUP(Table2[[#This Row],[First_egg_lay_date]],'19-20_niwa_temp_data'!B:B,'19-20_niwa_temp_data'!G:G, "No Match")</f>
        <v>17.618172436436193</v>
      </c>
    </row>
    <row r="276" spans="1:20" x14ac:dyDescent="0.35">
      <c r="A276" t="s">
        <v>9</v>
      </c>
      <c r="B276" t="s">
        <v>41</v>
      </c>
      <c r="C276" s="3" t="s">
        <v>130</v>
      </c>
      <c r="D276" t="str">
        <f>_xlfn.XLOOKUP(Table2[[#This Row],[Female_ID ]],'19-20_female_cohort'!I:I,'19-20_female_cohort'!H:H, "No Match")</f>
        <v>2018/2019</v>
      </c>
      <c r="E276">
        <v>1</v>
      </c>
      <c r="F276" s="11">
        <v>43779</v>
      </c>
      <c r="G276">
        <f>_xlfn.XLOOKUP(Table2[[#This Row],[First_egg_lay_date]],'19-20_niwa_temp_data'!B:B,'19-20_niwa_temp_data'!G:G, "No Match")</f>
        <v>17.618172436436193</v>
      </c>
      <c r="H276">
        <v>3</v>
      </c>
      <c r="I276" s="11">
        <v>43781</v>
      </c>
      <c r="J276">
        <f>_xlfn.XLOOKUP(Table2[[#This Row],[Nest_box_ID]],Sheet1!A:A,Sheet1!L:L, "No Match")</f>
        <v>0</v>
      </c>
      <c r="K276" s="11">
        <v>43796</v>
      </c>
      <c r="L276">
        <f>_xlfn.XLOOKUP(Table2[[#This Row],[Nest_box_ID]],Sheet1!A:A,Sheet1!K:K, "No Match")</f>
        <v>15</v>
      </c>
      <c r="M276" s="11">
        <v>43794</v>
      </c>
      <c r="N276" s="16">
        <v>0.50314814814814812</v>
      </c>
      <c r="O276">
        <v>13</v>
      </c>
      <c r="P276">
        <v>79</v>
      </c>
      <c r="Q276" t="s">
        <v>319</v>
      </c>
      <c r="R276">
        <v>272</v>
      </c>
      <c r="S276">
        <f>_xlfn.XLOOKUP(Table2[[#This Row],[Obs_date]],'19-20_niwa_temp_data'!B:B,'19-20_niwa_temp_data'!G:G, "N/A")</f>
        <v>16.725429740368405</v>
      </c>
      <c r="T276">
        <f>_xlfn.XLOOKUP(Table2[[#This Row],[First_egg_lay_date]],'19-20_niwa_temp_data'!B:B,'19-20_niwa_temp_data'!G:G, "No Match")</f>
        <v>17.618172436436193</v>
      </c>
    </row>
    <row r="277" spans="1:20" hidden="1" x14ac:dyDescent="0.35">
      <c r="A277" t="s">
        <v>9</v>
      </c>
      <c r="B277" t="s">
        <v>41</v>
      </c>
      <c r="C277" s="3" t="s">
        <v>130</v>
      </c>
      <c r="D277" t="str">
        <f>_xlfn.XLOOKUP(Table2[[#This Row],[Female_ID ]],'19-20_female_cohort'!I:I,'19-20_female_cohort'!H:H, "No Match")</f>
        <v>2018/2019</v>
      </c>
      <c r="E277">
        <v>1</v>
      </c>
      <c r="F277" s="11">
        <v>43779</v>
      </c>
      <c r="G277">
        <f>_xlfn.XLOOKUP(Table2[[#This Row],[First_egg_lay_date]],'19-20_niwa_temp_data'!B:B,'19-20_niwa_temp_data'!G:G, "No Match")</f>
        <v>17.618172436436193</v>
      </c>
      <c r="H277">
        <v>3</v>
      </c>
      <c r="I277" s="11">
        <v>43781</v>
      </c>
      <c r="J277">
        <f>_xlfn.XLOOKUP(Table2[[#This Row],[Nest_box_ID]],Sheet1!A:A,Sheet1!L:L, "No Match")</f>
        <v>0</v>
      </c>
      <c r="K277" s="11">
        <v>43796</v>
      </c>
      <c r="L277">
        <f>_xlfn.XLOOKUP(Table2[[#This Row],[Nest_box_ID]],Sheet1!A:A,Sheet1!K:K, "No Match")</f>
        <v>15</v>
      </c>
      <c r="M277" s="11">
        <v>43794</v>
      </c>
      <c r="N277" s="16">
        <v>0.50629629629629624</v>
      </c>
      <c r="O277">
        <v>13</v>
      </c>
      <c r="P277">
        <v>79</v>
      </c>
      <c r="Q277" t="s">
        <v>320</v>
      </c>
      <c r="R277">
        <v>369</v>
      </c>
      <c r="S277">
        <f>_xlfn.XLOOKUP(Table2[[#This Row],[Obs_date]],'19-20_niwa_temp_data'!B:B,'19-20_niwa_temp_data'!G:G, "N/A")</f>
        <v>16.725429740368405</v>
      </c>
      <c r="T277">
        <f>_xlfn.XLOOKUP(Table2[[#This Row],[First_egg_lay_date]],'19-20_niwa_temp_data'!B:B,'19-20_niwa_temp_data'!G:G, "No Match")</f>
        <v>17.618172436436193</v>
      </c>
    </row>
    <row r="278" spans="1:20" x14ac:dyDescent="0.35">
      <c r="A278" t="s">
        <v>9</v>
      </c>
      <c r="B278" t="s">
        <v>41</v>
      </c>
      <c r="C278" s="3" t="s">
        <v>130</v>
      </c>
      <c r="D278" t="str">
        <f>_xlfn.XLOOKUP(Table2[[#This Row],[Female_ID ]],'19-20_female_cohort'!I:I,'19-20_female_cohort'!H:H, "No Match")</f>
        <v>2018/2019</v>
      </c>
      <c r="E278">
        <v>1</v>
      </c>
      <c r="F278" s="11">
        <v>43779</v>
      </c>
      <c r="G278">
        <f>_xlfn.XLOOKUP(Table2[[#This Row],[First_egg_lay_date]],'19-20_niwa_temp_data'!B:B,'19-20_niwa_temp_data'!G:G, "No Match")</f>
        <v>17.618172436436193</v>
      </c>
      <c r="H278">
        <v>3</v>
      </c>
      <c r="I278" s="11">
        <v>43781</v>
      </c>
      <c r="J278">
        <f>_xlfn.XLOOKUP(Table2[[#This Row],[Nest_box_ID]],Sheet1!A:A,Sheet1!L:L, "No Match")</f>
        <v>0</v>
      </c>
      <c r="K278" s="11">
        <v>43796</v>
      </c>
      <c r="L278">
        <f>_xlfn.XLOOKUP(Table2[[#This Row],[Nest_box_ID]],Sheet1!A:A,Sheet1!K:K, "No Match")</f>
        <v>15</v>
      </c>
      <c r="M278" s="11">
        <v>43794</v>
      </c>
      <c r="N278" s="16">
        <v>0.51056712962962958</v>
      </c>
      <c r="O278">
        <v>13</v>
      </c>
      <c r="P278">
        <v>79</v>
      </c>
      <c r="Q278" t="s">
        <v>319</v>
      </c>
      <c r="R278">
        <v>374</v>
      </c>
      <c r="S278">
        <f>_xlfn.XLOOKUP(Table2[[#This Row],[Obs_date]],'19-20_niwa_temp_data'!B:B,'19-20_niwa_temp_data'!G:G, "N/A")</f>
        <v>16.725429740368405</v>
      </c>
      <c r="T278">
        <f>_xlfn.XLOOKUP(Table2[[#This Row],[First_egg_lay_date]],'19-20_niwa_temp_data'!B:B,'19-20_niwa_temp_data'!G:G, "No Match")</f>
        <v>17.618172436436193</v>
      </c>
    </row>
    <row r="279" spans="1:20" hidden="1" x14ac:dyDescent="0.35">
      <c r="A279" t="s">
        <v>9</v>
      </c>
      <c r="B279" t="s">
        <v>41</v>
      </c>
      <c r="C279" s="3" t="s">
        <v>130</v>
      </c>
      <c r="D279" t="str">
        <f>_xlfn.XLOOKUP(Table2[[#This Row],[Female_ID ]],'19-20_female_cohort'!I:I,'19-20_female_cohort'!H:H, "No Match")</f>
        <v>2018/2019</v>
      </c>
      <c r="E279">
        <v>1</v>
      </c>
      <c r="F279" s="11">
        <v>43779</v>
      </c>
      <c r="G279">
        <f>_xlfn.XLOOKUP(Table2[[#This Row],[First_egg_lay_date]],'19-20_niwa_temp_data'!B:B,'19-20_niwa_temp_data'!G:G, "No Match")</f>
        <v>17.618172436436193</v>
      </c>
      <c r="H279">
        <v>3</v>
      </c>
      <c r="I279" s="11">
        <v>43781</v>
      </c>
      <c r="J279">
        <f>_xlfn.XLOOKUP(Table2[[#This Row],[Nest_box_ID]],Sheet1!A:A,Sheet1!L:L, "No Match")</f>
        <v>0</v>
      </c>
      <c r="K279" s="11">
        <v>43796</v>
      </c>
      <c r="L279">
        <f>_xlfn.XLOOKUP(Table2[[#This Row],[Nest_box_ID]],Sheet1!A:A,Sheet1!K:K, "No Match")</f>
        <v>15</v>
      </c>
      <c r="M279" s="11">
        <v>43794</v>
      </c>
      <c r="N279" s="16">
        <v>0.51489583333333333</v>
      </c>
      <c r="O279">
        <v>13</v>
      </c>
      <c r="P279">
        <v>79</v>
      </c>
      <c r="Q279" t="s">
        <v>320</v>
      </c>
      <c r="R279" t="s">
        <v>254</v>
      </c>
      <c r="S279">
        <f>_xlfn.XLOOKUP(Table2[[#This Row],[Obs_date]],'19-20_niwa_temp_data'!B:B,'19-20_niwa_temp_data'!G:G, "N/A")</f>
        <v>16.725429740368405</v>
      </c>
      <c r="T279">
        <f>_xlfn.XLOOKUP(Table2[[#This Row],[First_egg_lay_date]],'19-20_niwa_temp_data'!B:B,'19-20_niwa_temp_data'!G:G, "No Match")</f>
        <v>17.618172436436193</v>
      </c>
    </row>
    <row r="280" spans="1:20" hidden="1" x14ac:dyDescent="0.35">
      <c r="A280" t="s">
        <v>9</v>
      </c>
      <c r="B280" t="s">
        <v>54</v>
      </c>
      <c r="C280" s="3" t="s">
        <v>143</v>
      </c>
      <c r="D280" t="str">
        <f>_xlfn.XLOOKUP(Table2[[#This Row],[Female_ID ]],'19-20_female_cohort'!I:I,'19-20_female_cohort'!H:H, "No Match")</f>
        <v>2018/2019</v>
      </c>
      <c r="E280">
        <v>1</v>
      </c>
      <c r="F280" s="11">
        <v>43789</v>
      </c>
      <c r="G280">
        <f>_xlfn.XLOOKUP(Table2[[#This Row],[First_egg_lay_date]],'19-20_niwa_temp_data'!B:B,'19-20_niwa_temp_data'!G:G, "No Match")</f>
        <v>13.516656391282572</v>
      </c>
      <c r="H280">
        <v>4</v>
      </c>
      <c r="I280" s="11">
        <v>43792</v>
      </c>
      <c r="J280">
        <f>_xlfn.XLOOKUP(Table2[[#This Row],[Nest_box_ID]],Sheet1!A:A,Sheet1!L:L, "No Match")</f>
        <v>0</v>
      </c>
      <c r="K280" s="11">
        <v>43806</v>
      </c>
      <c r="L280">
        <f>_xlfn.XLOOKUP(Table2[[#This Row],[Nest_box_ID]],Sheet1!A:A,Sheet1!K:K, "No Match")</f>
        <v>14</v>
      </c>
      <c r="M280" s="11">
        <v>43793</v>
      </c>
      <c r="N280" s="16">
        <v>0.56319444444444444</v>
      </c>
      <c r="O280">
        <v>1</v>
      </c>
      <c r="P280">
        <v>61</v>
      </c>
      <c r="Q280" t="s">
        <v>320</v>
      </c>
      <c r="R280">
        <v>477</v>
      </c>
      <c r="S280">
        <f>_xlfn.XLOOKUP(Table2[[#This Row],[Obs_date]],'19-20_niwa_temp_data'!B:B,'19-20_niwa_temp_data'!G:G, "N/A")</f>
        <v>16.778557744931476</v>
      </c>
      <c r="T280">
        <f>_xlfn.XLOOKUP(Table2[[#This Row],[First_egg_lay_date]],'19-20_niwa_temp_data'!B:B,'19-20_niwa_temp_data'!G:G, "No Match")</f>
        <v>13.516656391282572</v>
      </c>
    </row>
    <row r="281" spans="1:20" x14ac:dyDescent="0.35">
      <c r="A281" t="s">
        <v>9</v>
      </c>
      <c r="B281" t="s">
        <v>54</v>
      </c>
      <c r="C281" s="3" t="s">
        <v>143</v>
      </c>
      <c r="D281" t="str">
        <f>_xlfn.XLOOKUP(Table2[[#This Row],[Female_ID ]],'19-20_female_cohort'!I:I,'19-20_female_cohort'!H:H, "No Match")</f>
        <v>2018/2019</v>
      </c>
      <c r="E281">
        <v>1</v>
      </c>
      <c r="F281" s="11">
        <v>43789</v>
      </c>
      <c r="G281">
        <f>_xlfn.XLOOKUP(Table2[[#This Row],[First_egg_lay_date]],'19-20_niwa_temp_data'!B:B,'19-20_niwa_temp_data'!G:G, "No Match")</f>
        <v>13.516656391282572</v>
      </c>
      <c r="H281">
        <v>4</v>
      </c>
      <c r="I281" s="11">
        <v>43792</v>
      </c>
      <c r="J281">
        <f>_xlfn.XLOOKUP(Table2[[#This Row],[Nest_box_ID]],Sheet1!A:A,Sheet1!L:L, "No Match")</f>
        <v>0</v>
      </c>
      <c r="K281" s="11">
        <v>43806</v>
      </c>
      <c r="L281">
        <f>_xlfn.XLOOKUP(Table2[[#This Row],[Nest_box_ID]],Sheet1!A:A,Sheet1!K:K, "No Match")</f>
        <v>14</v>
      </c>
      <c r="M281" s="11">
        <v>43793</v>
      </c>
      <c r="N281" s="16">
        <v>0.56871527777777775</v>
      </c>
      <c r="O281">
        <v>1</v>
      </c>
      <c r="P281">
        <v>61</v>
      </c>
      <c r="Q281" t="s">
        <v>319</v>
      </c>
      <c r="R281">
        <v>259</v>
      </c>
      <c r="S281">
        <f>_xlfn.XLOOKUP(Table2[[#This Row],[Obs_date]],'19-20_niwa_temp_data'!B:B,'19-20_niwa_temp_data'!G:G, "N/A")</f>
        <v>16.778557744931476</v>
      </c>
      <c r="T281">
        <f>_xlfn.XLOOKUP(Table2[[#This Row],[First_egg_lay_date]],'19-20_niwa_temp_data'!B:B,'19-20_niwa_temp_data'!G:G, "No Match")</f>
        <v>13.516656391282572</v>
      </c>
    </row>
    <row r="282" spans="1:20" hidden="1" x14ac:dyDescent="0.35">
      <c r="A282" t="s">
        <v>9</v>
      </c>
      <c r="B282" t="s">
        <v>54</v>
      </c>
      <c r="C282" s="3" t="s">
        <v>143</v>
      </c>
      <c r="D282" t="str">
        <f>_xlfn.XLOOKUP(Table2[[#This Row],[Female_ID ]],'19-20_female_cohort'!I:I,'19-20_female_cohort'!H:H, "No Match")</f>
        <v>2018/2019</v>
      </c>
      <c r="E282">
        <v>1</v>
      </c>
      <c r="F282" s="11">
        <v>43789</v>
      </c>
      <c r="G282">
        <f>_xlfn.XLOOKUP(Table2[[#This Row],[First_egg_lay_date]],'19-20_niwa_temp_data'!B:B,'19-20_niwa_temp_data'!G:G, "No Match")</f>
        <v>13.516656391282572</v>
      </c>
      <c r="H282">
        <v>4</v>
      </c>
      <c r="I282" s="11">
        <v>43792</v>
      </c>
      <c r="J282">
        <f>_xlfn.XLOOKUP(Table2[[#This Row],[Nest_box_ID]],Sheet1!A:A,Sheet1!L:L, "No Match")</f>
        <v>0</v>
      </c>
      <c r="K282" s="11">
        <v>43806</v>
      </c>
      <c r="L282">
        <f>_xlfn.XLOOKUP(Table2[[#This Row],[Nest_box_ID]],Sheet1!A:A,Sheet1!K:K, "No Match")</f>
        <v>14</v>
      </c>
      <c r="M282" s="11">
        <v>43793</v>
      </c>
      <c r="N282" s="16">
        <v>0.57171296296296292</v>
      </c>
      <c r="O282">
        <v>1</v>
      </c>
      <c r="P282">
        <v>61</v>
      </c>
      <c r="Q282" t="s">
        <v>320</v>
      </c>
      <c r="R282">
        <v>403</v>
      </c>
      <c r="S282">
        <f>_xlfn.XLOOKUP(Table2[[#This Row],[Obs_date]],'19-20_niwa_temp_data'!B:B,'19-20_niwa_temp_data'!G:G, "N/A")</f>
        <v>16.778557744931476</v>
      </c>
      <c r="T282">
        <f>_xlfn.XLOOKUP(Table2[[#This Row],[First_egg_lay_date]],'19-20_niwa_temp_data'!B:B,'19-20_niwa_temp_data'!G:G, "No Match")</f>
        <v>13.516656391282572</v>
      </c>
    </row>
    <row r="283" spans="1:20" x14ac:dyDescent="0.35">
      <c r="A283" t="s">
        <v>9</v>
      </c>
      <c r="B283" t="s">
        <v>54</v>
      </c>
      <c r="C283" s="3" t="s">
        <v>143</v>
      </c>
      <c r="D283" t="str">
        <f>_xlfn.XLOOKUP(Table2[[#This Row],[Female_ID ]],'19-20_female_cohort'!I:I,'19-20_female_cohort'!H:H, "No Match")</f>
        <v>2018/2019</v>
      </c>
      <c r="E283">
        <v>1</v>
      </c>
      <c r="F283" s="11">
        <v>43789</v>
      </c>
      <c r="G283">
        <f>_xlfn.XLOOKUP(Table2[[#This Row],[First_egg_lay_date]],'19-20_niwa_temp_data'!B:B,'19-20_niwa_temp_data'!G:G, "No Match")</f>
        <v>13.516656391282572</v>
      </c>
      <c r="H283">
        <v>4</v>
      </c>
      <c r="I283" s="11">
        <v>43792</v>
      </c>
      <c r="J283">
        <f>_xlfn.XLOOKUP(Table2[[#This Row],[Nest_box_ID]],Sheet1!A:A,Sheet1!L:L, "No Match")</f>
        <v>0</v>
      </c>
      <c r="K283" s="11">
        <v>43806</v>
      </c>
      <c r="L283">
        <f>_xlfn.XLOOKUP(Table2[[#This Row],[Nest_box_ID]],Sheet1!A:A,Sheet1!K:K, "No Match")</f>
        <v>14</v>
      </c>
      <c r="M283" s="11">
        <v>43793</v>
      </c>
      <c r="N283" s="16">
        <v>0.5763773148148148</v>
      </c>
      <c r="O283">
        <v>1</v>
      </c>
      <c r="P283">
        <v>61</v>
      </c>
      <c r="Q283" t="s">
        <v>319</v>
      </c>
      <c r="R283">
        <v>247</v>
      </c>
      <c r="S283">
        <f>_xlfn.XLOOKUP(Table2[[#This Row],[Obs_date]],'19-20_niwa_temp_data'!B:B,'19-20_niwa_temp_data'!G:G, "N/A")</f>
        <v>16.778557744931476</v>
      </c>
      <c r="T283">
        <f>_xlfn.XLOOKUP(Table2[[#This Row],[First_egg_lay_date]],'19-20_niwa_temp_data'!B:B,'19-20_niwa_temp_data'!G:G, "No Match")</f>
        <v>13.516656391282572</v>
      </c>
    </row>
    <row r="284" spans="1:20" hidden="1" x14ac:dyDescent="0.35">
      <c r="A284" t="s">
        <v>9</v>
      </c>
      <c r="B284" t="s">
        <v>54</v>
      </c>
      <c r="C284" s="3" t="s">
        <v>143</v>
      </c>
      <c r="D284" t="str">
        <f>_xlfn.XLOOKUP(Table2[[#This Row],[Female_ID ]],'19-20_female_cohort'!I:I,'19-20_female_cohort'!H:H, "No Match")</f>
        <v>2018/2019</v>
      </c>
      <c r="E284">
        <v>1</v>
      </c>
      <c r="F284" s="11">
        <v>43789</v>
      </c>
      <c r="G284">
        <f>_xlfn.XLOOKUP(Table2[[#This Row],[First_egg_lay_date]],'19-20_niwa_temp_data'!B:B,'19-20_niwa_temp_data'!G:G, "No Match")</f>
        <v>13.516656391282572</v>
      </c>
      <c r="H284">
        <v>4</v>
      </c>
      <c r="I284" s="11">
        <v>43792</v>
      </c>
      <c r="J284">
        <f>_xlfn.XLOOKUP(Table2[[#This Row],[Nest_box_ID]],Sheet1!A:A,Sheet1!L:L, "No Match")</f>
        <v>0</v>
      </c>
      <c r="K284" s="11">
        <v>43806</v>
      </c>
      <c r="L284">
        <f>_xlfn.XLOOKUP(Table2[[#This Row],[Nest_box_ID]],Sheet1!A:A,Sheet1!K:K, "No Match")</f>
        <v>14</v>
      </c>
      <c r="M284" s="11">
        <v>43793</v>
      </c>
      <c r="N284" s="16">
        <v>0.57923611111111106</v>
      </c>
      <c r="O284">
        <v>1</v>
      </c>
      <c r="P284">
        <v>61</v>
      </c>
      <c r="Q284" t="s">
        <v>320</v>
      </c>
      <c r="R284">
        <v>434</v>
      </c>
      <c r="S284">
        <f>_xlfn.XLOOKUP(Table2[[#This Row],[Obs_date]],'19-20_niwa_temp_data'!B:B,'19-20_niwa_temp_data'!G:G, "N/A")</f>
        <v>16.778557744931476</v>
      </c>
      <c r="T284">
        <f>_xlfn.XLOOKUP(Table2[[#This Row],[First_egg_lay_date]],'19-20_niwa_temp_data'!B:B,'19-20_niwa_temp_data'!G:G, "No Match")</f>
        <v>13.516656391282572</v>
      </c>
    </row>
    <row r="285" spans="1:20" x14ac:dyDescent="0.35">
      <c r="A285" t="s">
        <v>9</v>
      </c>
      <c r="B285" t="s">
        <v>54</v>
      </c>
      <c r="C285" s="3" t="s">
        <v>143</v>
      </c>
      <c r="D285" t="str">
        <f>_xlfn.XLOOKUP(Table2[[#This Row],[Female_ID ]],'19-20_female_cohort'!I:I,'19-20_female_cohort'!H:H, "No Match")</f>
        <v>2018/2019</v>
      </c>
      <c r="E285">
        <v>1</v>
      </c>
      <c r="F285" s="11">
        <v>43789</v>
      </c>
      <c r="G285">
        <f>_xlfn.XLOOKUP(Table2[[#This Row],[First_egg_lay_date]],'19-20_niwa_temp_data'!B:B,'19-20_niwa_temp_data'!G:G, "No Match")</f>
        <v>13.516656391282572</v>
      </c>
      <c r="H285">
        <v>4</v>
      </c>
      <c r="I285" s="11">
        <v>43792</v>
      </c>
      <c r="J285">
        <f>_xlfn.XLOOKUP(Table2[[#This Row],[Nest_box_ID]],Sheet1!A:A,Sheet1!L:L, "No Match")</f>
        <v>0</v>
      </c>
      <c r="K285" s="11">
        <v>43806</v>
      </c>
      <c r="L285">
        <f>_xlfn.XLOOKUP(Table2[[#This Row],[Nest_box_ID]],Sheet1!A:A,Sheet1!K:K, "No Match")</f>
        <v>14</v>
      </c>
      <c r="M285" s="11">
        <v>43793</v>
      </c>
      <c r="N285" s="16">
        <v>0.58425925925925926</v>
      </c>
      <c r="O285">
        <v>1</v>
      </c>
      <c r="P285">
        <v>61</v>
      </c>
      <c r="Q285" t="s">
        <v>319</v>
      </c>
      <c r="R285">
        <v>835</v>
      </c>
      <c r="S285">
        <f>_xlfn.XLOOKUP(Table2[[#This Row],[Obs_date]],'19-20_niwa_temp_data'!B:B,'19-20_niwa_temp_data'!G:G, "N/A")</f>
        <v>16.778557744931476</v>
      </c>
      <c r="T285">
        <f>_xlfn.XLOOKUP(Table2[[#This Row],[First_egg_lay_date]],'19-20_niwa_temp_data'!B:B,'19-20_niwa_temp_data'!G:G, "No Match")</f>
        <v>13.516656391282572</v>
      </c>
    </row>
    <row r="286" spans="1:20" hidden="1" x14ac:dyDescent="0.35">
      <c r="A286" t="s">
        <v>9</v>
      </c>
      <c r="B286" t="s">
        <v>54</v>
      </c>
      <c r="C286" s="3" t="s">
        <v>143</v>
      </c>
      <c r="D286" t="str">
        <f>_xlfn.XLOOKUP(Table2[[#This Row],[Female_ID ]],'19-20_female_cohort'!I:I,'19-20_female_cohort'!H:H, "No Match")</f>
        <v>2018/2019</v>
      </c>
      <c r="E286">
        <v>1</v>
      </c>
      <c r="F286" s="11">
        <v>43789</v>
      </c>
      <c r="G286">
        <f>_xlfn.XLOOKUP(Table2[[#This Row],[First_egg_lay_date]],'19-20_niwa_temp_data'!B:B,'19-20_niwa_temp_data'!G:G, "No Match")</f>
        <v>13.516656391282572</v>
      </c>
      <c r="H286">
        <v>4</v>
      </c>
      <c r="I286" s="11">
        <v>43792</v>
      </c>
      <c r="J286">
        <f>_xlfn.XLOOKUP(Table2[[#This Row],[Nest_box_ID]],Sheet1!A:A,Sheet1!L:L, "No Match")</f>
        <v>0</v>
      </c>
      <c r="K286" s="11">
        <v>43806</v>
      </c>
      <c r="L286">
        <f>_xlfn.XLOOKUP(Table2[[#This Row],[Nest_box_ID]],Sheet1!A:A,Sheet1!K:K, "No Match")</f>
        <v>14</v>
      </c>
      <c r="M286" s="11">
        <v>43793</v>
      </c>
      <c r="N286" s="16">
        <v>0.59392361111111114</v>
      </c>
      <c r="O286">
        <v>1</v>
      </c>
      <c r="P286">
        <v>61</v>
      </c>
      <c r="Q286" t="s">
        <v>319</v>
      </c>
      <c r="R286" t="s">
        <v>254</v>
      </c>
      <c r="S286">
        <f>_xlfn.XLOOKUP(Table2[[#This Row],[Obs_date]],'19-20_niwa_temp_data'!B:B,'19-20_niwa_temp_data'!G:G, "N/A")</f>
        <v>16.778557744931476</v>
      </c>
      <c r="T286">
        <f>_xlfn.XLOOKUP(Table2[[#This Row],[First_egg_lay_date]],'19-20_niwa_temp_data'!B:B,'19-20_niwa_temp_data'!G:G, "No Match")</f>
        <v>13.516656391282572</v>
      </c>
    </row>
    <row r="287" spans="1:20" x14ac:dyDescent="0.35">
      <c r="A287" t="s">
        <v>9</v>
      </c>
      <c r="B287" t="s">
        <v>54</v>
      </c>
      <c r="C287" s="3" t="s">
        <v>143</v>
      </c>
      <c r="D287" t="str">
        <f>_xlfn.XLOOKUP(Table2[[#This Row],[Female_ID ]],'19-20_female_cohort'!I:I,'19-20_female_cohort'!H:H, "No Match")</f>
        <v>2018/2019</v>
      </c>
      <c r="E287">
        <v>1</v>
      </c>
      <c r="F287" s="11">
        <v>43789</v>
      </c>
      <c r="G287">
        <f>_xlfn.XLOOKUP(Table2[[#This Row],[First_egg_lay_date]],'19-20_niwa_temp_data'!B:B,'19-20_niwa_temp_data'!G:G, "No Match")</f>
        <v>13.516656391282572</v>
      </c>
      <c r="H287">
        <v>4</v>
      </c>
      <c r="I287" s="11">
        <v>43792</v>
      </c>
      <c r="J287">
        <f>_xlfn.XLOOKUP(Table2[[#This Row],[Nest_box_ID]],Sheet1!A:A,Sheet1!L:L, "No Match")</f>
        <v>0</v>
      </c>
      <c r="K287" s="11">
        <v>43806</v>
      </c>
      <c r="L287">
        <f>_xlfn.XLOOKUP(Table2[[#This Row],[Nest_box_ID]],Sheet1!A:A,Sheet1!K:K, "No Match")</f>
        <v>14</v>
      </c>
      <c r="M287" s="11">
        <v>43804</v>
      </c>
      <c r="N287" s="16">
        <v>0.46724537037037039</v>
      </c>
      <c r="O287">
        <v>13</v>
      </c>
      <c r="P287">
        <v>67</v>
      </c>
      <c r="Q287" t="s">
        <v>319</v>
      </c>
      <c r="R287">
        <v>312</v>
      </c>
      <c r="S287">
        <f>_xlfn.XLOOKUP(Table2[[#This Row],[Obs_date]],'19-20_niwa_temp_data'!B:B,'19-20_niwa_temp_data'!G:G, "N/A")</f>
        <v>17.28930305130892</v>
      </c>
      <c r="T287">
        <f>_xlfn.XLOOKUP(Table2[[#This Row],[First_egg_lay_date]],'19-20_niwa_temp_data'!B:B,'19-20_niwa_temp_data'!G:G, "No Match")</f>
        <v>13.516656391282572</v>
      </c>
    </row>
    <row r="288" spans="1:20" hidden="1" x14ac:dyDescent="0.35">
      <c r="A288" t="s">
        <v>9</v>
      </c>
      <c r="B288" t="s">
        <v>54</v>
      </c>
      <c r="C288" s="3" t="s">
        <v>143</v>
      </c>
      <c r="D288" t="str">
        <f>_xlfn.XLOOKUP(Table2[[#This Row],[Female_ID ]],'19-20_female_cohort'!I:I,'19-20_female_cohort'!H:H, "No Match")</f>
        <v>2018/2019</v>
      </c>
      <c r="E288">
        <v>1</v>
      </c>
      <c r="F288" s="11">
        <v>43789</v>
      </c>
      <c r="G288">
        <f>_xlfn.XLOOKUP(Table2[[#This Row],[First_egg_lay_date]],'19-20_niwa_temp_data'!B:B,'19-20_niwa_temp_data'!G:G, "No Match")</f>
        <v>13.516656391282572</v>
      </c>
      <c r="H288">
        <v>4</v>
      </c>
      <c r="I288" s="11">
        <v>43792</v>
      </c>
      <c r="J288">
        <f>_xlfn.XLOOKUP(Table2[[#This Row],[Nest_box_ID]],Sheet1!A:A,Sheet1!L:L, "No Match")</f>
        <v>0</v>
      </c>
      <c r="K288" s="11">
        <v>43806</v>
      </c>
      <c r="L288">
        <f>_xlfn.XLOOKUP(Table2[[#This Row],[Nest_box_ID]],Sheet1!A:A,Sheet1!K:K, "No Match")</f>
        <v>14</v>
      </c>
      <c r="M288" s="11">
        <v>43804</v>
      </c>
      <c r="N288" s="16">
        <v>0.47085648148148146</v>
      </c>
      <c r="O288">
        <v>13</v>
      </c>
      <c r="P288">
        <v>67</v>
      </c>
      <c r="Q288" t="s">
        <v>320</v>
      </c>
      <c r="R288">
        <v>590</v>
      </c>
      <c r="S288">
        <f>_xlfn.XLOOKUP(Table2[[#This Row],[Obs_date]],'19-20_niwa_temp_data'!B:B,'19-20_niwa_temp_data'!G:G, "N/A")</f>
        <v>17.28930305130892</v>
      </c>
      <c r="T288">
        <f>_xlfn.XLOOKUP(Table2[[#This Row],[First_egg_lay_date]],'19-20_niwa_temp_data'!B:B,'19-20_niwa_temp_data'!G:G, "No Match")</f>
        <v>13.516656391282572</v>
      </c>
    </row>
    <row r="289" spans="1:20" x14ac:dyDescent="0.35">
      <c r="A289" t="s">
        <v>9</v>
      </c>
      <c r="B289" t="s">
        <v>54</v>
      </c>
      <c r="C289" s="3" t="s">
        <v>143</v>
      </c>
      <c r="D289" t="str">
        <f>_xlfn.XLOOKUP(Table2[[#This Row],[Female_ID ]],'19-20_female_cohort'!I:I,'19-20_female_cohort'!H:H, "No Match")</f>
        <v>2018/2019</v>
      </c>
      <c r="E289">
        <v>1</v>
      </c>
      <c r="F289" s="11">
        <v>43789</v>
      </c>
      <c r="G289">
        <f>_xlfn.XLOOKUP(Table2[[#This Row],[First_egg_lay_date]],'19-20_niwa_temp_data'!B:B,'19-20_niwa_temp_data'!G:G, "No Match")</f>
        <v>13.516656391282572</v>
      </c>
      <c r="H289">
        <v>4</v>
      </c>
      <c r="I289" s="11">
        <v>43792</v>
      </c>
      <c r="J289">
        <f>_xlfn.XLOOKUP(Table2[[#This Row],[Nest_box_ID]],Sheet1!A:A,Sheet1!L:L, "No Match")</f>
        <v>0</v>
      </c>
      <c r="K289" s="11">
        <v>43806</v>
      </c>
      <c r="L289">
        <f>_xlfn.XLOOKUP(Table2[[#This Row],[Nest_box_ID]],Sheet1!A:A,Sheet1!K:K, "No Match")</f>
        <v>14</v>
      </c>
      <c r="M289" s="11">
        <v>43804</v>
      </c>
      <c r="N289" s="16">
        <v>0.47768518518518521</v>
      </c>
      <c r="O289">
        <v>13</v>
      </c>
      <c r="P289">
        <v>67</v>
      </c>
      <c r="Q289" t="s">
        <v>319</v>
      </c>
      <c r="R289">
        <v>386</v>
      </c>
      <c r="S289">
        <f>_xlfn.XLOOKUP(Table2[[#This Row],[Obs_date]],'19-20_niwa_temp_data'!B:B,'19-20_niwa_temp_data'!G:G, "N/A")</f>
        <v>17.28930305130892</v>
      </c>
      <c r="T289">
        <f>_xlfn.XLOOKUP(Table2[[#This Row],[First_egg_lay_date]],'19-20_niwa_temp_data'!B:B,'19-20_niwa_temp_data'!G:G, "No Match")</f>
        <v>13.516656391282572</v>
      </c>
    </row>
    <row r="290" spans="1:20" hidden="1" x14ac:dyDescent="0.35">
      <c r="A290" t="s">
        <v>9</v>
      </c>
      <c r="B290" t="s">
        <v>54</v>
      </c>
      <c r="C290" s="3" t="s">
        <v>143</v>
      </c>
      <c r="D290" t="str">
        <f>_xlfn.XLOOKUP(Table2[[#This Row],[Female_ID ]],'19-20_female_cohort'!I:I,'19-20_female_cohort'!H:H, "No Match")</f>
        <v>2018/2019</v>
      </c>
      <c r="E290">
        <v>1</v>
      </c>
      <c r="F290" s="11">
        <v>43789</v>
      </c>
      <c r="G290">
        <f>_xlfn.XLOOKUP(Table2[[#This Row],[First_egg_lay_date]],'19-20_niwa_temp_data'!B:B,'19-20_niwa_temp_data'!G:G, "No Match")</f>
        <v>13.516656391282572</v>
      </c>
      <c r="H290">
        <v>4</v>
      </c>
      <c r="I290" s="11">
        <v>43792</v>
      </c>
      <c r="J290">
        <f>_xlfn.XLOOKUP(Table2[[#This Row],[Nest_box_ID]],Sheet1!A:A,Sheet1!L:L, "No Match")</f>
        <v>0</v>
      </c>
      <c r="K290" s="11">
        <v>43806</v>
      </c>
      <c r="L290">
        <f>_xlfn.XLOOKUP(Table2[[#This Row],[Nest_box_ID]],Sheet1!A:A,Sheet1!K:K, "No Match")</f>
        <v>14</v>
      </c>
      <c r="M290" s="11">
        <v>43804</v>
      </c>
      <c r="N290" s="16">
        <v>0.48215277777777776</v>
      </c>
      <c r="O290">
        <v>13</v>
      </c>
      <c r="P290">
        <v>67</v>
      </c>
      <c r="Q290" t="s">
        <v>320</v>
      </c>
      <c r="R290">
        <v>585</v>
      </c>
      <c r="S290">
        <f>_xlfn.XLOOKUP(Table2[[#This Row],[Obs_date]],'19-20_niwa_temp_data'!B:B,'19-20_niwa_temp_data'!G:G, "N/A")</f>
        <v>17.28930305130892</v>
      </c>
      <c r="T290">
        <f>_xlfn.XLOOKUP(Table2[[#This Row],[First_egg_lay_date]],'19-20_niwa_temp_data'!B:B,'19-20_niwa_temp_data'!G:G, "No Match")</f>
        <v>13.516656391282572</v>
      </c>
    </row>
    <row r="291" spans="1:20" x14ac:dyDescent="0.35">
      <c r="A291" t="s">
        <v>9</v>
      </c>
      <c r="B291" t="s">
        <v>54</v>
      </c>
      <c r="C291" s="3" t="s">
        <v>143</v>
      </c>
      <c r="D291" t="str">
        <f>_xlfn.XLOOKUP(Table2[[#This Row],[Female_ID ]],'19-20_female_cohort'!I:I,'19-20_female_cohort'!H:H, "No Match")</f>
        <v>2018/2019</v>
      </c>
      <c r="E291">
        <v>1</v>
      </c>
      <c r="F291" s="11">
        <v>43789</v>
      </c>
      <c r="G291">
        <f>_xlfn.XLOOKUP(Table2[[#This Row],[First_egg_lay_date]],'19-20_niwa_temp_data'!B:B,'19-20_niwa_temp_data'!G:G, "No Match")</f>
        <v>13.516656391282572</v>
      </c>
      <c r="H291">
        <v>4</v>
      </c>
      <c r="I291" s="11">
        <v>43792</v>
      </c>
      <c r="J291">
        <f>_xlfn.XLOOKUP(Table2[[#This Row],[Nest_box_ID]],Sheet1!A:A,Sheet1!L:L, "No Match")</f>
        <v>0</v>
      </c>
      <c r="K291" s="11">
        <v>43806</v>
      </c>
      <c r="L291">
        <f>_xlfn.XLOOKUP(Table2[[#This Row],[Nest_box_ID]],Sheet1!A:A,Sheet1!K:K, "No Match")</f>
        <v>14</v>
      </c>
      <c r="M291" s="11">
        <v>43804</v>
      </c>
      <c r="N291" s="16">
        <v>0.4889236111111111</v>
      </c>
      <c r="O291">
        <v>13</v>
      </c>
      <c r="P291">
        <v>67</v>
      </c>
      <c r="Q291" t="s">
        <v>319</v>
      </c>
      <c r="R291">
        <v>327</v>
      </c>
      <c r="S291">
        <f>_xlfn.XLOOKUP(Table2[[#This Row],[Obs_date]],'19-20_niwa_temp_data'!B:B,'19-20_niwa_temp_data'!G:G, "N/A")</f>
        <v>17.28930305130892</v>
      </c>
      <c r="T291">
        <f>_xlfn.XLOOKUP(Table2[[#This Row],[First_egg_lay_date]],'19-20_niwa_temp_data'!B:B,'19-20_niwa_temp_data'!G:G, "No Match")</f>
        <v>13.516656391282572</v>
      </c>
    </row>
    <row r="292" spans="1:20" hidden="1" x14ac:dyDescent="0.35">
      <c r="A292" t="s">
        <v>9</v>
      </c>
      <c r="B292" t="s">
        <v>54</v>
      </c>
      <c r="C292" s="3" t="s">
        <v>143</v>
      </c>
      <c r="D292" t="str">
        <f>_xlfn.XLOOKUP(Table2[[#This Row],[Female_ID ]],'19-20_female_cohort'!I:I,'19-20_female_cohort'!H:H, "No Match")</f>
        <v>2018/2019</v>
      </c>
      <c r="E292">
        <v>1</v>
      </c>
      <c r="F292" s="11">
        <v>43789</v>
      </c>
      <c r="G292">
        <f>_xlfn.XLOOKUP(Table2[[#This Row],[First_egg_lay_date]],'19-20_niwa_temp_data'!B:B,'19-20_niwa_temp_data'!G:G, "No Match")</f>
        <v>13.516656391282572</v>
      </c>
      <c r="H292">
        <v>4</v>
      </c>
      <c r="I292" s="11">
        <v>43792</v>
      </c>
      <c r="J292">
        <f>_xlfn.XLOOKUP(Table2[[#This Row],[Nest_box_ID]],Sheet1!A:A,Sheet1!L:L, "No Match")</f>
        <v>0</v>
      </c>
      <c r="K292" s="11">
        <v>43806</v>
      </c>
      <c r="L292">
        <f>_xlfn.XLOOKUP(Table2[[#This Row],[Nest_box_ID]],Sheet1!A:A,Sheet1!K:K, "No Match")</f>
        <v>14</v>
      </c>
      <c r="M292" s="11">
        <v>43804</v>
      </c>
      <c r="N292" s="16">
        <v>0.49270833333333336</v>
      </c>
      <c r="O292">
        <v>13</v>
      </c>
      <c r="P292">
        <v>67</v>
      </c>
      <c r="Q292" t="s">
        <v>320</v>
      </c>
      <c r="R292">
        <v>145</v>
      </c>
      <c r="S292">
        <f>_xlfn.XLOOKUP(Table2[[#This Row],[Obs_date]],'19-20_niwa_temp_data'!B:B,'19-20_niwa_temp_data'!G:G, "N/A")</f>
        <v>17.28930305130892</v>
      </c>
      <c r="T292">
        <f>_xlfn.XLOOKUP(Table2[[#This Row],[First_egg_lay_date]],'19-20_niwa_temp_data'!B:B,'19-20_niwa_temp_data'!G:G, "No Match")</f>
        <v>13.516656391282572</v>
      </c>
    </row>
    <row r="293" spans="1:20" hidden="1" x14ac:dyDescent="0.35">
      <c r="A293" t="s">
        <v>9</v>
      </c>
      <c r="B293" t="s">
        <v>54</v>
      </c>
      <c r="C293" s="3" t="s">
        <v>143</v>
      </c>
      <c r="D293" t="str">
        <f>_xlfn.XLOOKUP(Table2[[#This Row],[Female_ID ]],'19-20_female_cohort'!I:I,'19-20_female_cohort'!H:H, "No Match")</f>
        <v>2018/2019</v>
      </c>
      <c r="E293">
        <v>1</v>
      </c>
      <c r="F293" s="11">
        <v>43789</v>
      </c>
      <c r="G293">
        <f>_xlfn.XLOOKUP(Table2[[#This Row],[First_egg_lay_date]],'19-20_niwa_temp_data'!B:B,'19-20_niwa_temp_data'!G:G, "No Match")</f>
        <v>13.516656391282572</v>
      </c>
      <c r="H293">
        <v>4</v>
      </c>
      <c r="I293" s="11">
        <v>43792</v>
      </c>
      <c r="J293">
        <f>_xlfn.XLOOKUP(Table2[[#This Row],[Nest_box_ID]],Sheet1!A:A,Sheet1!L:L, "No Match")</f>
        <v>0</v>
      </c>
      <c r="K293" s="11">
        <v>43806</v>
      </c>
      <c r="L293">
        <f>_xlfn.XLOOKUP(Table2[[#This Row],[Nest_box_ID]],Sheet1!A:A,Sheet1!K:K, "No Match")</f>
        <v>14</v>
      </c>
      <c r="M293" s="11">
        <v>43804</v>
      </c>
      <c r="N293" s="16">
        <v>0.49438657407407405</v>
      </c>
      <c r="O293">
        <v>13</v>
      </c>
      <c r="P293">
        <v>67</v>
      </c>
      <c r="Q293" t="s">
        <v>319</v>
      </c>
      <c r="R293" t="s">
        <v>254</v>
      </c>
      <c r="S293">
        <f>_xlfn.XLOOKUP(Table2[[#This Row],[Obs_date]],'19-20_niwa_temp_data'!B:B,'19-20_niwa_temp_data'!G:G, "N/A")</f>
        <v>17.28930305130892</v>
      </c>
      <c r="T293">
        <f>_xlfn.XLOOKUP(Table2[[#This Row],[First_egg_lay_date]],'19-20_niwa_temp_data'!B:B,'19-20_niwa_temp_data'!G:G, "No Match")</f>
        <v>13.516656391282572</v>
      </c>
    </row>
    <row r="294" spans="1:20" hidden="1" x14ac:dyDescent="0.35">
      <c r="A294" t="s">
        <v>9</v>
      </c>
      <c r="B294" t="s">
        <v>29</v>
      </c>
      <c r="C294" s="3" t="s">
        <v>118</v>
      </c>
      <c r="D294" t="str">
        <f>_xlfn.XLOOKUP(Table2[[#This Row],[Female_ID ]],'19-20_female_cohort'!I:I,'19-20_female_cohort'!H:H, "No Match")</f>
        <v>2018/2019</v>
      </c>
      <c r="E294">
        <v>1</v>
      </c>
      <c r="F294" s="11">
        <v>43793</v>
      </c>
      <c r="G294">
        <f>_xlfn.XLOOKUP(Table2[[#This Row],[First_egg_lay_date]],'19-20_niwa_temp_data'!B:B,'19-20_niwa_temp_data'!G:G, "No Match")</f>
        <v>16.778557744931476</v>
      </c>
      <c r="H294">
        <v>4</v>
      </c>
      <c r="I294" s="11">
        <v>43775</v>
      </c>
      <c r="J294">
        <f>_xlfn.XLOOKUP(Table2[[#This Row],[Nest_box_ID]],Sheet1!A:A,Sheet1!L:L, "No Match")</f>
        <v>0</v>
      </c>
      <c r="K294" s="11" t="s">
        <v>254</v>
      </c>
      <c r="L294" t="str">
        <f>_xlfn.XLOOKUP(Table2[[#This Row],[Nest_box_ID]],Sheet1!A:A,Sheet1!K:K, "No Match")</f>
        <v>N/A</v>
      </c>
      <c r="M294" s="11">
        <v>43803</v>
      </c>
      <c r="N294" s="16">
        <v>0.51778935185185182</v>
      </c>
      <c r="O294">
        <v>7</v>
      </c>
      <c r="P294">
        <v>150.96666669999999</v>
      </c>
      <c r="Q294" t="s">
        <v>319</v>
      </c>
      <c r="R294">
        <v>272</v>
      </c>
      <c r="S294">
        <f>_xlfn.XLOOKUP(Table2[[#This Row],[Obs_date]],'19-20_niwa_temp_data'!B:B,'19-20_niwa_temp_data'!G:G, "N/A")</f>
        <v>18.059900331950896</v>
      </c>
      <c r="T294">
        <f>_xlfn.XLOOKUP(Table2[[#This Row],[First_egg_lay_date]],'19-20_niwa_temp_data'!B:B,'19-20_niwa_temp_data'!G:G, "No Match")</f>
        <v>16.778557744931476</v>
      </c>
    </row>
    <row r="295" spans="1:20" hidden="1" x14ac:dyDescent="0.35">
      <c r="A295" t="s">
        <v>9</v>
      </c>
      <c r="B295" t="s">
        <v>29</v>
      </c>
      <c r="C295" s="3" t="s">
        <v>118</v>
      </c>
      <c r="D295" t="str">
        <f>_xlfn.XLOOKUP(Table2[[#This Row],[Female_ID ]],'19-20_female_cohort'!I:I,'19-20_female_cohort'!H:H, "No Match")</f>
        <v>2018/2019</v>
      </c>
      <c r="E295">
        <v>1</v>
      </c>
      <c r="F295" s="11">
        <v>43793</v>
      </c>
      <c r="G295">
        <f>_xlfn.XLOOKUP(Table2[[#This Row],[First_egg_lay_date]],'19-20_niwa_temp_data'!B:B,'19-20_niwa_temp_data'!G:G, "No Match")</f>
        <v>16.778557744931476</v>
      </c>
      <c r="H295">
        <v>4</v>
      </c>
      <c r="I295" s="11">
        <v>43775</v>
      </c>
      <c r="J295">
        <f>_xlfn.XLOOKUP(Table2[[#This Row],[Nest_box_ID]],Sheet1!A:A,Sheet1!L:L, "No Match")</f>
        <v>0</v>
      </c>
      <c r="K295" s="11" t="s">
        <v>254</v>
      </c>
      <c r="L295" t="str">
        <f>_xlfn.XLOOKUP(Table2[[#This Row],[Nest_box_ID]],Sheet1!A:A,Sheet1!K:K, "No Match")</f>
        <v>N/A</v>
      </c>
      <c r="M295" s="11">
        <v>43803</v>
      </c>
      <c r="N295" s="16">
        <v>0.52093750000000005</v>
      </c>
      <c r="O295">
        <v>7</v>
      </c>
      <c r="P295">
        <v>150.96666669999999</v>
      </c>
      <c r="Q295" t="s">
        <v>320</v>
      </c>
      <c r="R295">
        <v>681</v>
      </c>
      <c r="S295">
        <f>_xlfn.XLOOKUP(Table2[[#This Row],[Obs_date]],'19-20_niwa_temp_data'!B:B,'19-20_niwa_temp_data'!G:G, "N/A")</f>
        <v>18.059900331950896</v>
      </c>
      <c r="T295">
        <f>_xlfn.XLOOKUP(Table2[[#This Row],[First_egg_lay_date]],'19-20_niwa_temp_data'!B:B,'19-20_niwa_temp_data'!G:G, "No Match")</f>
        <v>16.778557744931476</v>
      </c>
    </row>
    <row r="296" spans="1:20" hidden="1" x14ac:dyDescent="0.35">
      <c r="A296" t="s">
        <v>9</v>
      </c>
      <c r="B296" t="s">
        <v>29</v>
      </c>
      <c r="C296" s="3" t="s">
        <v>118</v>
      </c>
      <c r="D296" t="str">
        <f>_xlfn.XLOOKUP(Table2[[#This Row],[Female_ID ]],'19-20_female_cohort'!I:I,'19-20_female_cohort'!H:H, "No Match")</f>
        <v>2018/2019</v>
      </c>
      <c r="E296">
        <v>1</v>
      </c>
      <c r="F296" s="11">
        <v>43793</v>
      </c>
      <c r="G296">
        <f>_xlfn.XLOOKUP(Table2[[#This Row],[First_egg_lay_date]],'19-20_niwa_temp_data'!B:B,'19-20_niwa_temp_data'!G:G, "No Match")</f>
        <v>16.778557744931476</v>
      </c>
      <c r="H296">
        <v>4</v>
      </c>
      <c r="I296" s="11">
        <v>43775</v>
      </c>
      <c r="J296">
        <f>_xlfn.XLOOKUP(Table2[[#This Row],[Nest_box_ID]],Sheet1!A:A,Sheet1!L:L, "No Match")</f>
        <v>0</v>
      </c>
      <c r="K296" s="11" t="s">
        <v>254</v>
      </c>
      <c r="L296" t="str">
        <f>_xlfn.XLOOKUP(Table2[[#This Row],[Nest_box_ID]],Sheet1!A:A,Sheet1!K:K, "No Match")</f>
        <v>N/A</v>
      </c>
      <c r="M296" s="11">
        <v>43803</v>
      </c>
      <c r="N296" s="16">
        <v>0.5288194444444444</v>
      </c>
      <c r="O296">
        <v>7</v>
      </c>
      <c r="P296">
        <v>150.96666669999999</v>
      </c>
      <c r="Q296" t="s">
        <v>320</v>
      </c>
      <c r="R296">
        <v>303</v>
      </c>
      <c r="S296">
        <f>_xlfn.XLOOKUP(Table2[[#This Row],[Obs_date]],'19-20_niwa_temp_data'!B:B,'19-20_niwa_temp_data'!G:G, "N/A")</f>
        <v>18.059900331950896</v>
      </c>
      <c r="T296">
        <f>_xlfn.XLOOKUP(Table2[[#This Row],[First_egg_lay_date]],'19-20_niwa_temp_data'!B:B,'19-20_niwa_temp_data'!G:G, "No Match")</f>
        <v>16.778557744931476</v>
      </c>
    </row>
    <row r="297" spans="1:20" hidden="1" x14ac:dyDescent="0.35">
      <c r="A297" t="s">
        <v>9</v>
      </c>
      <c r="B297" t="s">
        <v>29</v>
      </c>
      <c r="C297" s="3" t="s">
        <v>118</v>
      </c>
      <c r="D297" t="str">
        <f>_xlfn.XLOOKUP(Table2[[#This Row],[Female_ID ]],'19-20_female_cohort'!I:I,'19-20_female_cohort'!H:H, "No Match")</f>
        <v>2018/2019</v>
      </c>
      <c r="E297">
        <v>1</v>
      </c>
      <c r="F297" s="11">
        <v>43793</v>
      </c>
      <c r="G297">
        <f>_xlfn.XLOOKUP(Table2[[#This Row],[First_egg_lay_date]],'19-20_niwa_temp_data'!B:B,'19-20_niwa_temp_data'!G:G, "No Match")</f>
        <v>16.778557744931476</v>
      </c>
      <c r="H297">
        <v>4</v>
      </c>
      <c r="I297" s="11">
        <v>43775</v>
      </c>
      <c r="J297">
        <f>_xlfn.XLOOKUP(Table2[[#This Row],[Nest_box_ID]],Sheet1!A:A,Sheet1!L:L, "No Match")</f>
        <v>0</v>
      </c>
      <c r="K297" s="11" t="s">
        <v>254</v>
      </c>
      <c r="L297" t="str">
        <f>_xlfn.XLOOKUP(Table2[[#This Row],[Nest_box_ID]],Sheet1!A:A,Sheet1!K:K, "No Match")</f>
        <v>N/A</v>
      </c>
      <c r="M297" s="11">
        <v>43803</v>
      </c>
      <c r="N297" s="16">
        <v>0.53232638888888884</v>
      </c>
      <c r="O297">
        <v>7</v>
      </c>
      <c r="P297">
        <v>150.96666669999999</v>
      </c>
      <c r="Q297" t="s">
        <v>319</v>
      </c>
      <c r="R297">
        <v>158</v>
      </c>
      <c r="S297">
        <f>_xlfn.XLOOKUP(Table2[[#This Row],[Obs_date]],'19-20_niwa_temp_data'!B:B,'19-20_niwa_temp_data'!G:G, "N/A")</f>
        <v>18.059900331950896</v>
      </c>
      <c r="T297">
        <f>_xlfn.XLOOKUP(Table2[[#This Row],[First_egg_lay_date]],'19-20_niwa_temp_data'!B:B,'19-20_niwa_temp_data'!G:G, "No Match")</f>
        <v>16.778557744931476</v>
      </c>
    </row>
    <row r="298" spans="1:20" hidden="1" x14ac:dyDescent="0.35">
      <c r="A298" t="s">
        <v>9</v>
      </c>
      <c r="B298" t="s">
        <v>29</v>
      </c>
      <c r="C298" s="3" t="s">
        <v>118</v>
      </c>
      <c r="D298" t="str">
        <f>_xlfn.XLOOKUP(Table2[[#This Row],[Female_ID ]],'19-20_female_cohort'!I:I,'19-20_female_cohort'!H:H, "No Match")</f>
        <v>2018/2019</v>
      </c>
      <c r="E298">
        <v>1</v>
      </c>
      <c r="F298" s="11">
        <v>43793</v>
      </c>
      <c r="G298">
        <f>_xlfn.XLOOKUP(Table2[[#This Row],[First_egg_lay_date]],'19-20_niwa_temp_data'!B:B,'19-20_niwa_temp_data'!G:G, "No Match")</f>
        <v>16.778557744931476</v>
      </c>
      <c r="H298">
        <v>4</v>
      </c>
      <c r="I298" s="11">
        <v>43775</v>
      </c>
      <c r="J298">
        <f>_xlfn.XLOOKUP(Table2[[#This Row],[Nest_box_ID]],Sheet1!A:A,Sheet1!L:L, "No Match")</f>
        <v>0</v>
      </c>
      <c r="K298" s="11" t="s">
        <v>254</v>
      </c>
      <c r="L298" t="str">
        <f>_xlfn.XLOOKUP(Table2[[#This Row],[Nest_box_ID]],Sheet1!A:A,Sheet1!K:K, "No Match")</f>
        <v>N/A</v>
      </c>
      <c r="M298" s="11">
        <v>43803</v>
      </c>
      <c r="N298" s="16">
        <v>0.53415509259259264</v>
      </c>
      <c r="O298">
        <v>7</v>
      </c>
      <c r="P298">
        <v>150.96666669999999</v>
      </c>
      <c r="Q298" t="s">
        <v>320</v>
      </c>
      <c r="R298">
        <v>553</v>
      </c>
      <c r="S298">
        <f>_xlfn.XLOOKUP(Table2[[#This Row],[Obs_date]],'19-20_niwa_temp_data'!B:B,'19-20_niwa_temp_data'!G:G, "N/A")</f>
        <v>18.059900331950896</v>
      </c>
      <c r="T298">
        <f>_xlfn.XLOOKUP(Table2[[#This Row],[First_egg_lay_date]],'19-20_niwa_temp_data'!B:B,'19-20_niwa_temp_data'!G:G, "No Match")</f>
        <v>16.778557744931476</v>
      </c>
    </row>
    <row r="299" spans="1:20" hidden="1" x14ac:dyDescent="0.35">
      <c r="A299" t="s">
        <v>9</v>
      </c>
      <c r="B299" t="s">
        <v>29</v>
      </c>
      <c r="C299" s="3" t="s">
        <v>118</v>
      </c>
      <c r="D299" t="str">
        <f>_xlfn.XLOOKUP(Table2[[#This Row],[Female_ID ]],'19-20_female_cohort'!I:I,'19-20_female_cohort'!H:H, "No Match")</f>
        <v>2018/2019</v>
      </c>
      <c r="E299">
        <v>1</v>
      </c>
      <c r="F299" s="11">
        <v>43793</v>
      </c>
      <c r="G299">
        <f>_xlfn.XLOOKUP(Table2[[#This Row],[First_egg_lay_date]],'19-20_niwa_temp_data'!B:B,'19-20_niwa_temp_data'!G:G, "No Match")</f>
        <v>16.778557744931476</v>
      </c>
      <c r="H299">
        <v>4</v>
      </c>
      <c r="I299" s="11">
        <v>43775</v>
      </c>
      <c r="J299">
        <f>_xlfn.XLOOKUP(Table2[[#This Row],[Nest_box_ID]],Sheet1!A:A,Sheet1!L:L, "No Match")</f>
        <v>0</v>
      </c>
      <c r="K299" s="11" t="s">
        <v>254</v>
      </c>
      <c r="L299" t="str">
        <f>_xlfn.XLOOKUP(Table2[[#This Row],[Nest_box_ID]],Sheet1!A:A,Sheet1!K:K, "No Match")</f>
        <v>N/A</v>
      </c>
      <c r="M299" s="11">
        <v>43803</v>
      </c>
      <c r="N299" s="16">
        <v>0.54055555555555557</v>
      </c>
      <c r="O299">
        <v>7</v>
      </c>
      <c r="P299">
        <v>150.96666669999999</v>
      </c>
      <c r="Q299" t="s">
        <v>319</v>
      </c>
      <c r="R299">
        <v>303</v>
      </c>
      <c r="S299">
        <f>_xlfn.XLOOKUP(Table2[[#This Row],[Obs_date]],'19-20_niwa_temp_data'!B:B,'19-20_niwa_temp_data'!G:G, "N/A")</f>
        <v>18.059900331950896</v>
      </c>
      <c r="T299">
        <f>_xlfn.XLOOKUP(Table2[[#This Row],[First_egg_lay_date]],'19-20_niwa_temp_data'!B:B,'19-20_niwa_temp_data'!G:G, "No Match")</f>
        <v>16.778557744931476</v>
      </c>
    </row>
    <row r="300" spans="1:20" hidden="1" x14ac:dyDescent="0.35">
      <c r="A300" t="s">
        <v>9</v>
      </c>
      <c r="B300" t="s">
        <v>29</v>
      </c>
      <c r="C300" s="3" t="s">
        <v>118</v>
      </c>
      <c r="D300" t="str">
        <f>_xlfn.XLOOKUP(Table2[[#This Row],[Female_ID ]],'19-20_female_cohort'!I:I,'19-20_female_cohort'!H:H, "No Match")</f>
        <v>2018/2019</v>
      </c>
      <c r="E300">
        <v>1</v>
      </c>
      <c r="F300" s="11">
        <v>43793</v>
      </c>
      <c r="G300">
        <f>_xlfn.XLOOKUP(Table2[[#This Row],[First_egg_lay_date]],'19-20_niwa_temp_data'!B:B,'19-20_niwa_temp_data'!G:G, "No Match")</f>
        <v>16.778557744931476</v>
      </c>
      <c r="H300">
        <v>4</v>
      </c>
      <c r="I300" s="11">
        <v>43775</v>
      </c>
      <c r="J300">
        <f>_xlfn.XLOOKUP(Table2[[#This Row],[Nest_box_ID]],Sheet1!A:A,Sheet1!L:L, "No Match")</f>
        <v>0</v>
      </c>
      <c r="K300" s="11" t="s">
        <v>254</v>
      </c>
      <c r="L300" t="str">
        <f>_xlfn.XLOOKUP(Table2[[#This Row],[Nest_box_ID]],Sheet1!A:A,Sheet1!K:K, "No Match")</f>
        <v>N/A</v>
      </c>
      <c r="M300" s="11">
        <v>43803</v>
      </c>
      <c r="N300" s="16">
        <v>0.5440625</v>
      </c>
      <c r="O300">
        <v>7</v>
      </c>
      <c r="P300">
        <v>150.96666669999999</v>
      </c>
      <c r="Q300" t="s">
        <v>320</v>
      </c>
      <c r="R300">
        <v>123</v>
      </c>
      <c r="S300">
        <f>_xlfn.XLOOKUP(Table2[[#This Row],[Obs_date]],'19-20_niwa_temp_data'!B:B,'19-20_niwa_temp_data'!G:G, "N/A")</f>
        <v>18.059900331950896</v>
      </c>
      <c r="T300">
        <f>_xlfn.XLOOKUP(Table2[[#This Row],[First_egg_lay_date]],'19-20_niwa_temp_data'!B:B,'19-20_niwa_temp_data'!G:G, "No Match")</f>
        <v>16.778557744931476</v>
      </c>
    </row>
    <row r="301" spans="1:20" hidden="1" x14ac:dyDescent="0.35">
      <c r="A301" t="s">
        <v>9</v>
      </c>
      <c r="B301" t="s">
        <v>29</v>
      </c>
      <c r="C301" s="3" t="s">
        <v>118</v>
      </c>
      <c r="D301" t="str">
        <f>_xlfn.XLOOKUP(Table2[[#This Row],[Female_ID ]],'19-20_female_cohort'!I:I,'19-20_female_cohort'!H:H, "No Match")</f>
        <v>2018/2019</v>
      </c>
      <c r="E301">
        <v>1</v>
      </c>
      <c r="F301" s="11">
        <v>43793</v>
      </c>
      <c r="G301">
        <f>_xlfn.XLOOKUP(Table2[[#This Row],[First_egg_lay_date]],'19-20_niwa_temp_data'!B:B,'19-20_niwa_temp_data'!G:G, "No Match")</f>
        <v>16.778557744931476</v>
      </c>
      <c r="H301">
        <v>4</v>
      </c>
      <c r="I301" s="11">
        <v>43775</v>
      </c>
      <c r="J301">
        <f>_xlfn.XLOOKUP(Table2[[#This Row],[Nest_box_ID]],Sheet1!A:A,Sheet1!L:L, "No Match")</f>
        <v>0</v>
      </c>
      <c r="K301" s="11" t="s">
        <v>254</v>
      </c>
      <c r="L301" t="str">
        <f>_xlfn.XLOOKUP(Table2[[#This Row],[Nest_box_ID]],Sheet1!A:A,Sheet1!K:K, "No Match")</f>
        <v>N/A</v>
      </c>
      <c r="M301" s="11">
        <v>43803</v>
      </c>
      <c r="N301" s="16">
        <v>0.54548611111111112</v>
      </c>
      <c r="O301">
        <v>7</v>
      </c>
      <c r="P301">
        <v>150.96666669999999</v>
      </c>
      <c r="Q301" t="s">
        <v>319</v>
      </c>
      <c r="R301">
        <v>361</v>
      </c>
      <c r="S301">
        <f>_xlfn.XLOOKUP(Table2[[#This Row],[Obs_date]],'19-20_niwa_temp_data'!B:B,'19-20_niwa_temp_data'!G:G, "N/A")</f>
        <v>18.059900331950896</v>
      </c>
      <c r="T301">
        <f>_xlfn.XLOOKUP(Table2[[#This Row],[First_egg_lay_date]],'19-20_niwa_temp_data'!B:B,'19-20_niwa_temp_data'!G:G, "No Match")</f>
        <v>16.778557744931476</v>
      </c>
    </row>
    <row r="302" spans="1:20" hidden="1" x14ac:dyDescent="0.35">
      <c r="A302" t="s">
        <v>9</v>
      </c>
      <c r="B302" t="s">
        <v>29</v>
      </c>
      <c r="C302" s="3" t="s">
        <v>118</v>
      </c>
      <c r="D302" t="str">
        <f>_xlfn.XLOOKUP(Table2[[#This Row],[Female_ID ]],'19-20_female_cohort'!I:I,'19-20_female_cohort'!H:H, "No Match")</f>
        <v>2018/2019</v>
      </c>
      <c r="E302">
        <v>1</v>
      </c>
      <c r="F302" s="11">
        <v>43793</v>
      </c>
      <c r="G302">
        <f>_xlfn.XLOOKUP(Table2[[#This Row],[First_egg_lay_date]],'19-20_niwa_temp_data'!B:B,'19-20_niwa_temp_data'!G:G, "No Match")</f>
        <v>16.778557744931476</v>
      </c>
      <c r="H302">
        <v>4</v>
      </c>
      <c r="I302" s="11">
        <v>43775</v>
      </c>
      <c r="J302">
        <f>_xlfn.XLOOKUP(Table2[[#This Row],[Nest_box_ID]],Sheet1!A:A,Sheet1!L:L, "No Match")</f>
        <v>0</v>
      </c>
      <c r="K302" s="11" t="s">
        <v>254</v>
      </c>
      <c r="L302" t="str">
        <f>_xlfn.XLOOKUP(Table2[[#This Row],[Nest_box_ID]],Sheet1!A:A,Sheet1!K:K, "No Match")</f>
        <v>N/A</v>
      </c>
      <c r="M302" s="11">
        <v>43803</v>
      </c>
      <c r="N302" s="16">
        <v>0.54966435185185181</v>
      </c>
      <c r="O302">
        <v>7</v>
      </c>
      <c r="P302">
        <v>150.96666669999999</v>
      </c>
      <c r="Q302" t="s">
        <v>320</v>
      </c>
      <c r="R302">
        <v>353</v>
      </c>
      <c r="S302">
        <f>_xlfn.XLOOKUP(Table2[[#This Row],[Obs_date]],'19-20_niwa_temp_data'!B:B,'19-20_niwa_temp_data'!G:G, "N/A")</f>
        <v>18.059900331950896</v>
      </c>
      <c r="T302">
        <f>_xlfn.XLOOKUP(Table2[[#This Row],[First_egg_lay_date]],'19-20_niwa_temp_data'!B:B,'19-20_niwa_temp_data'!G:G, "No Match")</f>
        <v>16.778557744931476</v>
      </c>
    </row>
    <row r="303" spans="1:20" hidden="1" x14ac:dyDescent="0.35">
      <c r="A303" t="s">
        <v>9</v>
      </c>
      <c r="B303" t="s">
        <v>29</v>
      </c>
      <c r="C303" s="3" t="s">
        <v>118</v>
      </c>
      <c r="D303" t="str">
        <f>_xlfn.XLOOKUP(Table2[[#This Row],[Female_ID ]],'19-20_female_cohort'!I:I,'19-20_female_cohort'!H:H, "No Match")</f>
        <v>2018/2019</v>
      </c>
      <c r="E303">
        <v>1</v>
      </c>
      <c r="F303" s="11">
        <v>43793</v>
      </c>
      <c r="G303">
        <f>_xlfn.XLOOKUP(Table2[[#This Row],[First_egg_lay_date]],'19-20_niwa_temp_data'!B:B,'19-20_niwa_temp_data'!G:G, "No Match")</f>
        <v>16.778557744931476</v>
      </c>
      <c r="H303">
        <v>4</v>
      </c>
      <c r="I303" s="11">
        <v>43775</v>
      </c>
      <c r="J303">
        <f>_xlfn.XLOOKUP(Table2[[#This Row],[Nest_box_ID]],Sheet1!A:A,Sheet1!L:L, "No Match")</f>
        <v>0</v>
      </c>
      <c r="K303" s="11" t="s">
        <v>254</v>
      </c>
      <c r="L303" t="str">
        <f>_xlfn.XLOOKUP(Table2[[#This Row],[Nest_box_ID]],Sheet1!A:A,Sheet1!K:K, "No Match")</f>
        <v>N/A</v>
      </c>
      <c r="M303" s="11">
        <v>43803</v>
      </c>
      <c r="N303" s="16">
        <v>0.55374999999999996</v>
      </c>
      <c r="O303">
        <v>7</v>
      </c>
      <c r="P303">
        <v>150.96666669999999</v>
      </c>
      <c r="Q303" t="s">
        <v>319</v>
      </c>
      <c r="R303">
        <v>382</v>
      </c>
      <c r="S303">
        <f>_xlfn.XLOOKUP(Table2[[#This Row],[Obs_date]],'19-20_niwa_temp_data'!B:B,'19-20_niwa_temp_data'!G:G, "N/A")</f>
        <v>18.059900331950896</v>
      </c>
      <c r="T303">
        <f>_xlfn.XLOOKUP(Table2[[#This Row],[First_egg_lay_date]],'19-20_niwa_temp_data'!B:B,'19-20_niwa_temp_data'!G:G, "No Match")</f>
        <v>16.778557744931476</v>
      </c>
    </row>
    <row r="304" spans="1:20" hidden="1" x14ac:dyDescent="0.35">
      <c r="A304" t="s">
        <v>9</v>
      </c>
      <c r="B304" t="s">
        <v>29</v>
      </c>
      <c r="C304" s="3" t="s">
        <v>118</v>
      </c>
      <c r="D304" t="str">
        <f>_xlfn.XLOOKUP(Table2[[#This Row],[Female_ID ]],'19-20_female_cohort'!I:I,'19-20_female_cohort'!H:H, "No Match")</f>
        <v>2018/2019</v>
      </c>
      <c r="E304">
        <v>1</v>
      </c>
      <c r="F304" s="11">
        <v>43793</v>
      </c>
      <c r="G304">
        <f>_xlfn.XLOOKUP(Table2[[#This Row],[First_egg_lay_date]],'19-20_niwa_temp_data'!B:B,'19-20_niwa_temp_data'!G:G, "No Match")</f>
        <v>16.778557744931476</v>
      </c>
      <c r="H304">
        <v>4</v>
      </c>
      <c r="I304" s="11">
        <v>43775</v>
      </c>
      <c r="J304">
        <f>_xlfn.XLOOKUP(Table2[[#This Row],[Nest_box_ID]],Sheet1!A:A,Sheet1!L:L, "No Match")</f>
        <v>0</v>
      </c>
      <c r="K304" s="11" t="s">
        <v>254</v>
      </c>
      <c r="L304" t="str">
        <f>_xlfn.XLOOKUP(Table2[[#This Row],[Nest_box_ID]],Sheet1!A:A,Sheet1!K:K, "No Match")</f>
        <v>N/A</v>
      </c>
      <c r="M304" s="11">
        <v>43803</v>
      </c>
      <c r="N304" s="16">
        <v>0.55817129629629625</v>
      </c>
      <c r="O304">
        <v>7</v>
      </c>
      <c r="P304">
        <v>150.96666669999999</v>
      </c>
      <c r="Q304" t="s">
        <v>319</v>
      </c>
      <c r="R304">
        <v>276</v>
      </c>
      <c r="S304">
        <f>_xlfn.XLOOKUP(Table2[[#This Row],[Obs_date]],'19-20_niwa_temp_data'!B:B,'19-20_niwa_temp_data'!G:G, "N/A")</f>
        <v>18.059900331950896</v>
      </c>
      <c r="T304">
        <f>_xlfn.XLOOKUP(Table2[[#This Row],[First_egg_lay_date]],'19-20_niwa_temp_data'!B:B,'19-20_niwa_temp_data'!G:G, "No Match")</f>
        <v>16.778557744931476</v>
      </c>
    </row>
    <row r="305" spans="1:20" hidden="1" x14ac:dyDescent="0.35">
      <c r="A305" t="s">
        <v>9</v>
      </c>
      <c r="B305" t="s">
        <v>29</v>
      </c>
      <c r="C305" s="3" t="s">
        <v>118</v>
      </c>
      <c r="D305" t="str">
        <f>_xlfn.XLOOKUP(Table2[[#This Row],[Female_ID ]],'19-20_female_cohort'!I:I,'19-20_female_cohort'!H:H, "No Match")</f>
        <v>2018/2019</v>
      </c>
      <c r="E305">
        <v>1</v>
      </c>
      <c r="F305" s="11">
        <v>43793</v>
      </c>
      <c r="G305">
        <f>_xlfn.XLOOKUP(Table2[[#This Row],[First_egg_lay_date]],'19-20_niwa_temp_data'!B:B,'19-20_niwa_temp_data'!G:G, "No Match")</f>
        <v>16.778557744931476</v>
      </c>
      <c r="H305">
        <v>4</v>
      </c>
      <c r="I305" s="11">
        <v>43775</v>
      </c>
      <c r="J305">
        <f>_xlfn.XLOOKUP(Table2[[#This Row],[Nest_box_ID]],Sheet1!A:A,Sheet1!L:L, "No Match")</f>
        <v>0</v>
      </c>
      <c r="K305" s="11" t="s">
        <v>254</v>
      </c>
      <c r="L305" t="str">
        <f>_xlfn.XLOOKUP(Table2[[#This Row],[Nest_box_ID]],Sheet1!A:A,Sheet1!K:K, "No Match")</f>
        <v>N/A</v>
      </c>
      <c r="M305" s="11">
        <v>43803</v>
      </c>
      <c r="N305" s="16">
        <v>0.56136574074074075</v>
      </c>
      <c r="O305">
        <v>7</v>
      </c>
      <c r="P305">
        <v>150.96666669999999</v>
      </c>
      <c r="Q305" t="s">
        <v>320</v>
      </c>
      <c r="R305" t="s">
        <v>254</v>
      </c>
      <c r="S305">
        <f>_xlfn.XLOOKUP(Table2[[#This Row],[Obs_date]],'19-20_niwa_temp_data'!B:B,'19-20_niwa_temp_data'!G:G, "N/A")</f>
        <v>18.059900331950896</v>
      </c>
      <c r="T305">
        <f>_xlfn.XLOOKUP(Table2[[#This Row],[First_egg_lay_date]],'19-20_niwa_temp_data'!B:B,'19-20_niwa_temp_data'!G:G, "No Match")</f>
        <v>16.778557744931476</v>
      </c>
    </row>
    <row r="306" spans="1:20" hidden="1" x14ac:dyDescent="0.35">
      <c r="A306" t="s">
        <v>9</v>
      </c>
      <c r="B306" t="s">
        <v>28</v>
      </c>
      <c r="C306" s="3" t="s">
        <v>117</v>
      </c>
      <c r="D306" t="str">
        <f>_xlfn.XLOOKUP(Table2[[#This Row],[Female_ID ]],'19-20_female_cohort'!I:I,'19-20_female_cohort'!H:H, "No Match")</f>
        <v>2018/2019</v>
      </c>
      <c r="E306">
        <v>1</v>
      </c>
      <c r="F306" s="11">
        <v>43775</v>
      </c>
      <c r="G306">
        <f>_xlfn.XLOOKUP(Table2[[#This Row],[First_egg_lay_date]],'19-20_niwa_temp_data'!B:B,'19-20_niwa_temp_data'!G:G, "No Match")</f>
        <v>16.742759629165079</v>
      </c>
      <c r="H306">
        <v>1</v>
      </c>
      <c r="I306" s="11">
        <v>43775</v>
      </c>
      <c r="J306">
        <f>_xlfn.XLOOKUP(Table2[[#This Row],[Nest_box_ID]],Sheet1!A:A,Sheet1!L:L, "No Match")</f>
        <v>0</v>
      </c>
      <c r="K306" s="11" t="s">
        <v>254</v>
      </c>
      <c r="L306" t="str">
        <f>_xlfn.XLOOKUP(Table2[[#This Row],[Nest_box_ID]],Sheet1!A:A,Sheet1!K:K, "No Match")</f>
        <v>N/A</v>
      </c>
      <c r="M306" s="11">
        <v>43782</v>
      </c>
      <c r="N306" s="16">
        <v>0.53880787037037037</v>
      </c>
      <c r="O306">
        <v>7</v>
      </c>
      <c r="P306">
        <v>62</v>
      </c>
      <c r="Q306" t="s">
        <v>319</v>
      </c>
      <c r="R306">
        <v>505</v>
      </c>
      <c r="S306">
        <f>_xlfn.XLOOKUP(Table2[[#This Row],[Obs_date]],'19-20_niwa_temp_data'!B:B,'19-20_niwa_temp_data'!G:G, "N/A")</f>
        <v>11.944873377311289</v>
      </c>
      <c r="T306">
        <f>_xlfn.XLOOKUP(Table2[[#This Row],[First_egg_lay_date]],'19-20_niwa_temp_data'!B:B,'19-20_niwa_temp_data'!G:G, "No Match")</f>
        <v>16.742759629165079</v>
      </c>
    </row>
    <row r="307" spans="1:20" hidden="1" x14ac:dyDescent="0.35">
      <c r="A307" t="s">
        <v>9</v>
      </c>
      <c r="B307" t="s">
        <v>28</v>
      </c>
      <c r="C307" s="3" t="s">
        <v>117</v>
      </c>
      <c r="D307" t="str">
        <f>_xlfn.XLOOKUP(Table2[[#This Row],[Female_ID ]],'19-20_female_cohort'!I:I,'19-20_female_cohort'!H:H, "No Match")</f>
        <v>2018/2019</v>
      </c>
      <c r="E307">
        <v>1</v>
      </c>
      <c r="F307" s="11">
        <v>43775</v>
      </c>
      <c r="G307">
        <f>_xlfn.XLOOKUP(Table2[[#This Row],[First_egg_lay_date]],'19-20_niwa_temp_data'!B:B,'19-20_niwa_temp_data'!G:G, "No Match")</f>
        <v>16.742759629165079</v>
      </c>
      <c r="H307">
        <v>1</v>
      </c>
      <c r="I307" s="11">
        <v>43775</v>
      </c>
      <c r="J307">
        <f>_xlfn.XLOOKUP(Table2[[#This Row],[Nest_box_ID]],Sheet1!A:A,Sheet1!L:L, "No Match")</f>
        <v>0</v>
      </c>
      <c r="K307" s="11" t="s">
        <v>254</v>
      </c>
      <c r="L307" t="str">
        <f>_xlfn.XLOOKUP(Table2[[#This Row],[Nest_box_ID]],Sheet1!A:A,Sheet1!K:K, "No Match")</f>
        <v>N/A</v>
      </c>
      <c r="M307" s="11">
        <v>43782</v>
      </c>
      <c r="N307" s="16">
        <v>0.54465277777777776</v>
      </c>
      <c r="O307">
        <v>7</v>
      </c>
      <c r="P307">
        <v>62</v>
      </c>
      <c r="Q307" t="s">
        <v>320</v>
      </c>
      <c r="R307">
        <v>238</v>
      </c>
      <c r="S307">
        <f>_xlfn.XLOOKUP(Table2[[#This Row],[Obs_date]],'19-20_niwa_temp_data'!B:B,'19-20_niwa_temp_data'!G:G, "N/A")</f>
        <v>11.944873377311289</v>
      </c>
      <c r="T307">
        <f>_xlfn.XLOOKUP(Table2[[#This Row],[First_egg_lay_date]],'19-20_niwa_temp_data'!B:B,'19-20_niwa_temp_data'!G:G, "No Match")</f>
        <v>16.742759629165079</v>
      </c>
    </row>
    <row r="308" spans="1:20" hidden="1" x14ac:dyDescent="0.35">
      <c r="A308" t="s">
        <v>9</v>
      </c>
      <c r="B308" t="s">
        <v>28</v>
      </c>
      <c r="C308" s="3" t="s">
        <v>117</v>
      </c>
      <c r="D308" t="str">
        <f>_xlfn.XLOOKUP(Table2[[#This Row],[Female_ID ]],'19-20_female_cohort'!I:I,'19-20_female_cohort'!H:H, "No Match")</f>
        <v>2018/2019</v>
      </c>
      <c r="E308">
        <v>1</v>
      </c>
      <c r="F308" s="11">
        <v>43775</v>
      </c>
      <c r="G308">
        <f>_xlfn.XLOOKUP(Table2[[#This Row],[First_egg_lay_date]],'19-20_niwa_temp_data'!B:B,'19-20_niwa_temp_data'!G:G, "No Match")</f>
        <v>16.742759629165079</v>
      </c>
      <c r="H308">
        <v>1</v>
      </c>
      <c r="I308" s="11">
        <v>43775</v>
      </c>
      <c r="J308">
        <f>_xlfn.XLOOKUP(Table2[[#This Row],[Nest_box_ID]],Sheet1!A:A,Sheet1!L:L, "No Match")</f>
        <v>0</v>
      </c>
      <c r="K308" s="11" t="s">
        <v>254</v>
      </c>
      <c r="L308" t="str">
        <f>_xlfn.XLOOKUP(Table2[[#This Row],[Nest_box_ID]],Sheet1!A:A,Sheet1!K:K, "No Match")</f>
        <v>N/A</v>
      </c>
      <c r="M308" s="11">
        <v>43782</v>
      </c>
      <c r="N308" s="16">
        <v>0.54740740740740745</v>
      </c>
      <c r="O308">
        <v>7</v>
      </c>
      <c r="P308">
        <v>62</v>
      </c>
      <c r="Q308" t="s">
        <v>319</v>
      </c>
      <c r="R308">
        <v>338</v>
      </c>
      <c r="S308">
        <f>_xlfn.XLOOKUP(Table2[[#This Row],[Obs_date]],'19-20_niwa_temp_data'!B:B,'19-20_niwa_temp_data'!G:G, "N/A")</f>
        <v>11.944873377311289</v>
      </c>
      <c r="T308">
        <f>_xlfn.XLOOKUP(Table2[[#This Row],[First_egg_lay_date]],'19-20_niwa_temp_data'!B:B,'19-20_niwa_temp_data'!G:G, "No Match")</f>
        <v>16.742759629165079</v>
      </c>
    </row>
    <row r="309" spans="1:20" hidden="1" x14ac:dyDescent="0.35">
      <c r="A309" t="s">
        <v>9</v>
      </c>
      <c r="B309" t="s">
        <v>28</v>
      </c>
      <c r="C309" s="3" t="s">
        <v>117</v>
      </c>
      <c r="D309" t="str">
        <f>_xlfn.XLOOKUP(Table2[[#This Row],[Female_ID ]],'19-20_female_cohort'!I:I,'19-20_female_cohort'!H:H, "No Match")</f>
        <v>2018/2019</v>
      </c>
      <c r="E309">
        <v>1</v>
      </c>
      <c r="F309" s="11">
        <v>43775</v>
      </c>
      <c r="G309">
        <f>_xlfn.XLOOKUP(Table2[[#This Row],[First_egg_lay_date]],'19-20_niwa_temp_data'!B:B,'19-20_niwa_temp_data'!G:G, "No Match")</f>
        <v>16.742759629165079</v>
      </c>
      <c r="H309">
        <v>1</v>
      </c>
      <c r="I309" s="11">
        <v>43775</v>
      </c>
      <c r="J309">
        <f>_xlfn.XLOOKUP(Table2[[#This Row],[Nest_box_ID]],Sheet1!A:A,Sheet1!L:L, "No Match")</f>
        <v>0</v>
      </c>
      <c r="K309" s="11" t="s">
        <v>254</v>
      </c>
      <c r="L309" t="str">
        <f>_xlfn.XLOOKUP(Table2[[#This Row],[Nest_box_ID]],Sheet1!A:A,Sheet1!K:K, "No Match")</f>
        <v>N/A</v>
      </c>
      <c r="M309" s="11">
        <v>43782</v>
      </c>
      <c r="N309" s="16">
        <v>0.55131944444444447</v>
      </c>
      <c r="O309">
        <v>7</v>
      </c>
      <c r="P309">
        <v>62</v>
      </c>
      <c r="Q309" t="s">
        <v>320</v>
      </c>
      <c r="R309">
        <v>1185</v>
      </c>
      <c r="S309">
        <f>_xlfn.XLOOKUP(Table2[[#This Row],[Obs_date]],'19-20_niwa_temp_data'!B:B,'19-20_niwa_temp_data'!G:G, "N/A")</f>
        <v>11.944873377311289</v>
      </c>
      <c r="T309">
        <f>_xlfn.XLOOKUP(Table2[[#This Row],[First_egg_lay_date]],'19-20_niwa_temp_data'!B:B,'19-20_niwa_temp_data'!G:G, "No Match")</f>
        <v>16.742759629165079</v>
      </c>
    </row>
    <row r="310" spans="1:20" hidden="1" x14ac:dyDescent="0.35">
      <c r="A310" t="s">
        <v>9</v>
      </c>
      <c r="B310" t="s">
        <v>28</v>
      </c>
      <c r="C310" s="3" t="s">
        <v>117</v>
      </c>
      <c r="D310" t="str">
        <f>_xlfn.XLOOKUP(Table2[[#This Row],[Female_ID ]],'19-20_female_cohort'!I:I,'19-20_female_cohort'!H:H, "No Match")</f>
        <v>2018/2019</v>
      </c>
      <c r="E310">
        <v>1</v>
      </c>
      <c r="F310" s="11">
        <v>43775</v>
      </c>
      <c r="G310">
        <f>_xlfn.XLOOKUP(Table2[[#This Row],[First_egg_lay_date]],'19-20_niwa_temp_data'!B:B,'19-20_niwa_temp_data'!G:G, "No Match")</f>
        <v>16.742759629165079</v>
      </c>
      <c r="H310">
        <v>1</v>
      </c>
      <c r="I310" s="11">
        <v>43775</v>
      </c>
      <c r="J310">
        <f>_xlfn.XLOOKUP(Table2[[#This Row],[Nest_box_ID]],Sheet1!A:A,Sheet1!L:L, "No Match")</f>
        <v>0</v>
      </c>
      <c r="K310" s="11" t="s">
        <v>254</v>
      </c>
      <c r="L310" t="str">
        <f>_xlfn.XLOOKUP(Table2[[#This Row],[Nest_box_ID]],Sheet1!A:A,Sheet1!K:K, "No Match")</f>
        <v>N/A</v>
      </c>
      <c r="M310" s="11">
        <v>43782</v>
      </c>
      <c r="N310" s="16">
        <v>0.56503472222222217</v>
      </c>
      <c r="O310">
        <v>7</v>
      </c>
      <c r="P310">
        <v>62</v>
      </c>
      <c r="Q310" t="s">
        <v>319</v>
      </c>
      <c r="R310" t="s">
        <v>254</v>
      </c>
      <c r="S310">
        <f>_xlfn.XLOOKUP(Table2[[#This Row],[Obs_date]],'19-20_niwa_temp_data'!B:B,'19-20_niwa_temp_data'!G:G, "N/A")</f>
        <v>11.944873377311289</v>
      </c>
      <c r="T310">
        <f>_xlfn.XLOOKUP(Table2[[#This Row],[First_egg_lay_date]],'19-20_niwa_temp_data'!B:B,'19-20_niwa_temp_data'!G:G, "No Match")</f>
        <v>16.742759629165079</v>
      </c>
    </row>
    <row r="311" spans="1:20" hidden="1" x14ac:dyDescent="0.35">
      <c r="A311" t="s">
        <v>9</v>
      </c>
      <c r="B311" t="s">
        <v>28</v>
      </c>
      <c r="C311" s="3" t="s">
        <v>117</v>
      </c>
      <c r="D311" t="str">
        <f>_xlfn.XLOOKUP(Table2[[#This Row],[Female_ID ]],'19-20_female_cohort'!I:I,'19-20_female_cohort'!H:H, "No Match")</f>
        <v>2018/2019</v>
      </c>
      <c r="E311">
        <v>1</v>
      </c>
      <c r="F311" s="11">
        <v>43775</v>
      </c>
      <c r="G311">
        <f>_xlfn.XLOOKUP(Table2[[#This Row],[First_egg_lay_date]],'19-20_niwa_temp_data'!B:B,'19-20_niwa_temp_data'!G:G, "No Match")</f>
        <v>16.742759629165079</v>
      </c>
      <c r="H311">
        <v>1</v>
      </c>
      <c r="I311" s="11">
        <v>43775</v>
      </c>
      <c r="J311">
        <f>_xlfn.XLOOKUP(Table2[[#This Row],[Nest_box_ID]],Sheet1!A:A,Sheet1!L:L, "No Match")</f>
        <v>0</v>
      </c>
      <c r="K311" s="11" t="s">
        <v>254</v>
      </c>
      <c r="L311" t="str">
        <f>_xlfn.XLOOKUP(Table2[[#This Row],[Nest_box_ID]],Sheet1!A:A,Sheet1!K:K, "No Match")</f>
        <v>N/A</v>
      </c>
      <c r="M311" s="11">
        <v>43782</v>
      </c>
      <c r="N311" s="16">
        <v>0.5458101851851852</v>
      </c>
      <c r="O311">
        <v>7</v>
      </c>
      <c r="P311">
        <v>62</v>
      </c>
      <c r="Q311" t="s">
        <v>320</v>
      </c>
      <c r="R311">
        <v>2044</v>
      </c>
      <c r="S311">
        <f>_xlfn.XLOOKUP(Table2[[#This Row],[Obs_date]],'19-20_niwa_temp_data'!B:B,'19-20_niwa_temp_data'!G:G, "N/A")</f>
        <v>11.944873377311289</v>
      </c>
      <c r="T311">
        <f>_xlfn.XLOOKUP(Table2[[#This Row],[First_egg_lay_date]],'19-20_niwa_temp_data'!B:B,'19-20_niwa_temp_data'!G:G, "No Match")</f>
        <v>16.742759629165079</v>
      </c>
    </row>
    <row r="312" spans="1:20" hidden="1" x14ac:dyDescent="0.35">
      <c r="A312" t="s">
        <v>9</v>
      </c>
      <c r="B312" t="s">
        <v>28</v>
      </c>
      <c r="C312" s="3" t="s">
        <v>117</v>
      </c>
      <c r="D312" t="str">
        <f>_xlfn.XLOOKUP(Table2[[#This Row],[Female_ID ]],'19-20_female_cohort'!I:I,'19-20_female_cohort'!H:H, "No Match")</f>
        <v>2018/2019</v>
      </c>
      <c r="E312">
        <v>1</v>
      </c>
      <c r="F312" s="11">
        <v>43775</v>
      </c>
      <c r="G312">
        <f>_xlfn.XLOOKUP(Table2[[#This Row],[First_egg_lay_date]],'19-20_niwa_temp_data'!B:B,'19-20_niwa_temp_data'!G:G, "No Match")</f>
        <v>16.742759629165079</v>
      </c>
      <c r="H312">
        <v>1</v>
      </c>
      <c r="I312" s="11">
        <v>43775</v>
      </c>
      <c r="J312">
        <f>_xlfn.XLOOKUP(Table2[[#This Row],[Nest_box_ID]],Sheet1!A:A,Sheet1!L:L, "No Match")</f>
        <v>0</v>
      </c>
      <c r="K312" s="11" t="s">
        <v>254</v>
      </c>
      <c r="L312" t="str">
        <f>_xlfn.XLOOKUP(Table2[[#This Row],[Nest_box_ID]],Sheet1!A:A,Sheet1!K:K, "No Match")</f>
        <v>N/A</v>
      </c>
      <c r="M312" s="11">
        <v>43782</v>
      </c>
      <c r="N312" s="16">
        <v>0.56946759259259261</v>
      </c>
      <c r="O312">
        <v>7</v>
      </c>
      <c r="P312">
        <v>62</v>
      </c>
      <c r="Q312" t="s">
        <v>319</v>
      </c>
      <c r="R312">
        <v>220</v>
      </c>
      <c r="S312">
        <f>_xlfn.XLOOKUP(Table2[[#This Row],[Obs_date]],'19-20_niwa_temp_data'!B:B,'19-20_niwa_temp_data'!G:G, "N/A")</f>
        <v>11.944873377311289</v>
      </c>
      <c r="T312">
        <f>_xlfn.XLOOKUP(Table2[[#This Row],[First_egg_lay_date]],'19-20_niwa_temp_data'!B:B,'19-20_niwa_temp_data'!G:G, "No Match")</f>
        <v>16.742759629165079</v>
      </c>
    </row>
    <row r="313" spans="1:20" hidden="1" x14ac:dyDescent="0.35">
      <c r="A313" t="s">
        <v>9</v>
      </c>
      <c r="B313" t="s">
        <v>28</v>
      </c>
      <c r="C313" s="3" t="s">
        <v>117</v>
      </c>
      <c r="D313" t="str">
        <f>_xlfn.XLOOKUP(Table2[[#This Row],[Female_ID ]],'19-20_female_cohort'!I:I,'19-20_female_cohort'!H:H, "No Match")</f>
        <v>2018/2019</v>
      </c>
      <c r="E313">
        <v>1</v>
      </c>
      <c r="F313" s="11">
        <v>43775</v>
      </c>
      <c r="G313">
        <f>_xlfn.XLOOKUP(Table2[[#This Row],[First_egg_lay_date]],'19-20_niwa_temp_data'!B:B,'19-20_niwa_temp_data'!G:G, "No Match")</f>
        <v>16.742759629165079</v>
      </c>
      <c r="H313">
        <v>1</v>
      </c>
      <c r="I313" s="11">
        <v>43775</v>
      </c>
      <c r="J313">
        <f>_xlfn.XLOOKUP(Table2[[#This Row],[Nest_box_ID]],Sheet1!A:A,Sheet1!L:L, "No Match")</f>
        <v>0</v>
      </c>
      <c r="K313" s="11" t="s">
        <v>254</v>
      </c>
      <c r="L313" t="str">
        <f>_xlfn.XLOOKUP(Table2[[#This Row],[Nest_box_ID]],Sheet1!A:A,Sheet1!K:K, "No Match")</f>
        <v>N/A</v>
      </c>
      <c r="M313" s="11">
        <v>43782</v>
      </c>
      <c r="N313" s="16">
        <v>0.57201388888888893</v>
      </c>
      <c r="O313">
        <v>7</v>
      </c>
      <c r="P313">
        <v>62</v>
      </c>
      <c r="Q313" t="s">
        <v>320</v>
      </c>
      <c r="R313" t="s">
        <v>254</v>
      </c>
      <c r="S313">
        <f>_xlfn.XLOOKUP(Table2[[#This Row],[Obs_date]],'19-20_niwa_temp_data'!B:B,'19-20_niwa_temp_data'!G:G, "N/A")</f>
        <v>11.944873377311289</v>
      </c>
      <c r="T313">
        <f>_xlfn.XLOOKUP(Table2[[#This Row],[First_egg_lay_date]],'19-20_niwa_temp_data'!B:B,'19-20_niwa_temp_data'!G:G, "No Match")</f>
        <v>16.742759629165079</v>
      </c>
    </row>
    <row r="314" spans="1:20" x14ac:dyDescent="0.35">
      <c r="A314" t="s">
        <v>9</v>
      </c>
      <c r="B314" t="s">
        <v>66</v>
      </c>
      <c r="C314" s="3" t="s">
        <v>155</v>
      </c>
      <c r="D314" t="str">
        <f>_xlfn.XLOOKUP(Table2[[#This Row],[Female_ID ]],'19-20_female_cohort'!I:I,'19-20_female_cohort'!H:H, "No Match")</f>
        <v>2017/2018</v>
      </c>
      <c r="E314">
        <v>2</v>
      </c>
      <c r="F314" s="11">
        <v>43801</v>
      </c>
      <c r="G314">
        <f>_xlfn.XLOOKUP(Table2[[#This Row],[First_egg_lay_date]],'19-20_niwa_temp_data'!B:B,'19-20_niwa_temp_data'!G:G, "No Match")</f>
        <v>18.228549037155975</v>
      </c>
      <c r="H314">
        <v>5</v>
      </c>
      <c r="I314" s="11">
        <v>43805</v>
      </c>
      <c r="J314">
        <f>_xlfn.XLOOKUP(Table2[[#This Row],[Nest_box_ID]],Sheet1!A:A,Sheet1!L:L, "No Match")</f>
        <v>0</v>
      </c>
      <c r="K314" s="11">
        <v>43819</v>
      </c>
      <c r="L314">
        <f>_xlfn.XLOOKUP(Table2[[#This Row],[Nest_box_ID]],Sheet1!A:A,Sheet1!K:K, "No Match")</f>
        <v>14</v>
      </c>
      <c r="M314" s="11">
        <v>43805</v>
      </c>
      <c r="N314" s="16">
        <v>0.51490740740740737</v>
      </c>
      <c r="O314">
        <v>1</v>
      </c>
      <c r="P314">
        <v>73</v>
      </c>
      <c r="Q314" t="s">
        <v>319</v>
      </c>
      <c r="R314">
        <v>210</v>
      </c>
      <c r="S314">
        <f>_xlfn.XLOOKUP(Table2[[#This Row],[Obs_date]],'19-20_niwa_temp_data'!B:B,'19-20_niwa_temp_data'!G:G, "N/A")</f>
        <v>17.764852940567788</v>
      </c>
      <c r="T314">
        <f>_xlfn.XLOOKUP(Table2[[#This Row],[First_egg_lay_date]],'19-20_niwa_temp_data'!B:B,'19-20_niwa_temp_data'!G:G, "No Match")</f>
        <v>18.228549037155975</v>
      </c>
    </row>
    <row r="315" spans="1:20" hidden="1" x14ac:dyDescent="0.35">
      <c r="A315" t="s">
        <v>9</v>
      </c>
      <c r="B315" t="s">
        <v>66</v>
      </c>
      <c r="C315" s="3" t="s">
        <v>155</v>
      </c>
      <c r="D315" t="str">
        <f>_xlfn.XLOOKUP(Table2[[#This Row],[Female_ID ]],'19-20_female_cohort'!I:I,'19-20_female_cohort'!H:H, "No Match")</f>
        <v>2017/2018</v>
      </c>
      <c r="E315">
        <v>2</v>
      </c>
      <c r="F315" s="11">
        <v>43801</v>
      </c>
      <c r="G315">
        <f>_xlfn.XLOOKUP(Table2[[#This Row],[First_egg_lay_date]],'19-20_niwa_temp_data'!B:B,'19-20_niwa_temp_data'!G:G, "No Match")</f>
        <v>18.228549037155975</v>
      </c>
      <c r="H315">
        <v>5</v>
      </c>
      <c r="I315" s="11">
        <v>43805</v>
      </c>
      <c r="J315">
        <f>_xlfn.XLOOKUP(Table2[[#This Row],[Nest_box_ID]],Sheet1!A:A,Sheet1!L:L, "No Match")</f>
        <v>0</v>
      </c>
      <c r="K315" s="11">
        <v>43819</v>
      </c>
      <c r="L315">
        <f>_xlfn.XLOOKUP(Table2[[#This Row],[Nest_box_ID]],Sheet1!A:A,Sheet1!K:K, "No Match")</f>
        <v>14</v>
      </c>
      <c r="M315" s="11">
        <v>43805</v>
      </c>
      <c r="N315" s="16">
        <v>0.51733796296296297</v>
      </c>
      <c r="O315">
        <v>1</v>
      </c>
      <c r="P315">
        <v>73</v>
      </c>
      <c r="Q315" t="s">
        <v>320</v>
      </c>
      <c r="R315">
        <v>651</v>
      </c>
      <c r="S315">
        <f>_xlfn.XLOOKUP(Table2[[#This Row],[Obs_date]],'19-20_niwa_temp_data'!B:B,'19-20_niwa_temp_data'!G:G, "N/A")</f>
        <v>17.764852940567788</v>
      </c>
      <c r="T315">
        <f>_xlfn.XLOOKUP(Table2[[#This Row],[First_egg_lay_date]],'19-20_niwa_temp_data'!B:B,'19-20_niwa_temp_data'!G:G, "No Match")</f>
        <v>18.228549037155975</v>
      </c>
    </row>
    <row r="316" spans="1:20" x14ac:dyDescent="0.35">
      <c r="A316" t="s">
        <v>9</v>
      </c>
      <c r="B316" t="s">
        <v>66</v>
      </c>
      <c r="C316" s="3" t="s">
        <v>155</v>
      </c>
      <c r="D316" t="str">
        <f>_xlfn.XLOOKUP(Table2[[#This Row],[Female_ID ]],'19-20_female_cohort'!I:I,'19-20_female_cohort'!H:H, "No Match")</f>
        <v>2017/2018</v>
      </c>
      <c r="E316">
        <v>2</v>
      </c>
      <c r="F316" s="11">
        <v>43801</v>
      </c>
      <c r="G316">
        <f>_xlfn.XLOOKUP(Table2[[#This Row],[First_egg_lay_date]],'19-20_niwa_temp_data'!B:B,'19-20_niwa_temp_data'!G:G, "No Match")</f>
        <v>18.228549037155975</v>
      </c>
      <c r="H316">
        <v>5</v>
      </c>
      <c r="I316" s="11">
        <v>43805</v>
      </c>
      <c r="J316">
        <f>_xlfn.XLOOKUP(Table2[[#This Row],[Nest_box_ID]],Sheet1!A:A,Sheet1!L:L, "No Match")</f>
        <v>0</v>
      </c>
      <c r="K316" s="11">
        <v>43819</v>
      </c>
      <c r="L316">
        <f>_xlfn.XLOOKUP(Table2[[#This Row],[Nest_box_ID]],Sheet1!A:A,Sheet1!K:K, "No Match")</f>
        <v>14</v>
      </c>
      <c r="M316" s="11">
        <v>43805</v>
      </c>
      <c r="N316" s="16">
        <v>0.52487268518518515</v>
      </c>
      <c r="O316">
        <v>1</v>
      </c>
      <c r="P316">
        <v>73</v>
      </c>
      <c r="Q316" t="s">
        <v>319</v>
      </c>
      <c r="R316">
        <v>196</v>
      </c>
      <c r="S316">
        <f>_xlfn.XLOOKUP(Table2[[#This Row],[Obs_date]],'19-20_niwa_temp_data'!B:B,'19-20_niwa_temp_data'!G:G, "N/A")</f>
        <v>17.764852940567788</v>
      </c>
      <c r="T316">
        <f>_xlfn.XLOOKUP(Table2[[#This Row],[First_egg_lay_date]],'19-20_niwa_temp_data'!B:B,'19-20_niwa_temp_data'!G:G, "No Match")</f>
        <v>18.228549037155975</v>
      </c>
    </row>
    <row r="317" spans="1:20" hidden="1" x14ac:dyDescent="0.35">
      <c r="A317" t="s">
        <v>9</v>
      </c>
      <c r="B317" t="s">
        <v>66</v>
      </c>
      <c r="C317" s="3" t="s">
        <v>155</v>
      </c>
      <c r="D317" t="str">
        <f>_xlfn.XLOOKUP(Table2[[#This Row],[Female_ID ]],'19-20_female_cohort'!I:I,'19-20_female_cohort'!H:H, "No Match")</f>
        <v>2017/2018</v>
      </c>
      <c r="E317">
        <v>2</v>
      </c>
      <c r="F317" s="11">
        <v>43801</v>
      </c>
      <c r="G317">
        <f>_xlfn.XLOOKUP(Table2[[#This Row],[First_egg_lay_date]],'19-20_niwa_temp_data'!B:B,'19-20_niwa_temp_data'!G:G, "No Match")</f>
        <v>18.228549037155975</v>
      </c>
      <c r="H317">
        <v>5</v>
      </c>
      <c r="I317" s="11">
        <v>43805</v>
      </c>
      <c r="J317">
        <f>_xlfn.XLOOKUP(Table2[[#This Row],[Nest_box_ID]],Sheet1!A:A,Sheet1!L:L, "No Match")</f>
        <v>0</v>
      </c>
      <c r="K317" s="11">
        <v>43819</v>
      </c>
      <c r="L317">
        <f>_xlfn.XLOOKUP(Table2[[#This Row],[Nest_box_ID]],Sheet1!A:A,Sheet1!K:K, "No Match")</f>
        <v>14</v>
      </c>
      <c r="M317" s="11">
        <v>43805</v>
      </c>
      <c r="N317" s="16">
        <v>0.52714120370370365</v>
      </c>
      <c r="O317">
        <v>1</v>
      </c>
      <c r="P317">
        <v>73</v>
      </c>
      <c r="Q317" t="s">
        <v>320</v>
      </c>
      <c r="R317" t="s">
        <v>254</v>
      </c>
      <c r="S317">
        <f>_xlfn.XLOOKUP(Table2[[#This Row],[Obs_date]],'19-20_niwa_temp_data'!B:B,'19-20_niwa_temp_data'!G:G, "N/A")</f>
        <v>17.764852940567788</v>
      </c>
      <c r="T317">
        <f>_xlfn.XLOOKUP(Table2[[#This Row],[First_egg_lay_date]],'19-20_niwa_temp_data'!B:B,'19-20_niwa_temp_data'!G:G, "No Match")</f>
        <v>18.228549037155975</v>
      </c>
    </row>
    <row r="318" spans="1:20" hidden="1" x14ac:dyDescent="0.35">
      <c r="A318" t="s">
        <v>9</v>
      </c>
      <c r="B318" t="s">
        <v>66</v>
      </c>
      <c r="C318" s="3" t="s">
        <v>155</v>
      </c>
      <c r="D318" t="str">
        <f>_xlfn.XLOOKUP(Table2[[#This Row],[Female_ID ]],'19-20_female_cohort'!I:I,'19-20_female_cohort'!H:H, "No Match")</f>
        <v>2017/2018</v>
      </c>
      <c r="E318">
        <v>2</v>
      </c>
      <c r="F318" s="11">
        <v>43801</v>
      </c>
      <c r="G318">
        <f>_xlfn.XLOOKUP(Table2[[#This Row],[First_egg_lay_date]],'19-20_niwa_temp_data'!B:B,'19-20_niwa_temp_data'!G:G, "No Match")</f>
        <v>18.228549037155975</v>
      </c>
      <c r="H318">
        <v>5</v>
      </c>
      <c r="I318" s="11">
        <v>43805</v>
      </c>
      <c r="J318">
        <f>_xlfn.XLOOKUP(Table2[[#This Row],[Nest_box_ID]],Sheet1!A:A,Sheet1!L:L, "No Match")</f>
        <v>0</v>
      </c>
      <c r="K318" s="11">
        <v>43819</v>
      </c>
      <c r="L318">
        <f>_xlfn.XLOOKUP(Table2[[#This Row],[Nest_box_ID]],Sheet1!A:A,Sheet1!K:K, "No Match")</f>
        <v>14</v>
      </c>
      <c r="M318" s="11">
        <v>43805</v>
      </c>
      <c r="N318" s="16">
        <v>0.50637731481481485</v>
      </c>
      <c r="O318">
        <v>1</v>
      </c>
      <c r="P318">
        <v>73</v>
      </c>
      <c r="Q318" t="s">
        <v>319</v>
      </c>
      <c r="R318" t="s">
        <v>254</v>
      </c>
      <c r="S318">
        <f>_xlfn.XLOOKUP(Table2[[#This Row],[Obs_date]],'19-20_niwa_temp_data'!B:B,'19-20_niwa_temp_data'!G:G, "N/A")</f>
        <v>17.764852940567788</v>
      </c>
      <c r="T318">
        <f>_xlfn.XLOOKUP(Table2[[#This Row],[First_egg_lay_date]],'19-20_niwa_temp_data'!B:B,'19-20_niwa_temp_data'!G:G, "No Match")</f>
        <v>18.228549037155975</v>
      </c>
    </row>
    <row r="319" spans="1:20" x14ac:dyDescent="0.35">
      <c r="A319" t="s">
        <v>9</v>
      </c>
      <c r="B319" t="s">
        <v>18</v>
      </c>
      <c r="C319" s="3" t="s">
        <v>107</v>
      </c>
      <c r="D319" t="str">
        <f>_xlfn.XLOOKUP(Table2[[#This Row],[Female_ID ]],'19-20_female_cohort'!I:I,'19-20_female_cohort'!H:H, "No Match")</f>
        <v>2018/2019</v>
      </c>
      <c r="E319">
        <v>1</v>
      </c>
      <c r="F319" s="11">
        <v>43771</v>
      </c>
      <c r="G319">
        <f>_xlfn.XLOOKUP(Table2[[#This Row],[First_egg_lay_date]],'19-20_niwa_temp_data'!B:B,'19-20_niwa_temp_data'!G:G, "No Match")</f>
        <v>13.655768012089251</v>
      </c>
      <c r="H319">
        <v>4</v>
      </c>
      <c r="I319" s="11">
        <v>43774</v>
      </c>
      <c r="J319">
        <f>_xlfn.XLOOKUP(Table2[[#This Row],[Nest_box_ID]],Sheet1!A:A,Sheet1!L:L, "No Match")</f>
        <v>0</v>
      </c>
      <c r="K319" s="11">
        <v>43789</v>
      </c>
      <c r="L319">
        <f>_xlfn.XLOOKUP(Table2[[#This Row],[Nest_box_ID]],Sheet1!A:A,Sheet1!K:K, "No Match")</f>
        <v>15</v>
      </c>
      <c r="M319" s="11">
        <v>43776</v>
      </c>
      <c r="N319" s="16">
        <v>0.57430555555555551</v>
      </c>
      <c r="O319">
        <v>3</v>
      </c>
      <c r="P319">
        <v>60</v>
      </c>
      <c r="Q319" t="s">
        <v>319</v>
      </c>
      <c r="R319">
        <v>87</v>
      </c>
      <c r="S319">
        <f>_xlfn.XLOOKUP(Table2[[#This Row],[Obs_date]],'19-20_niwa_temp_data'!B:B,'19-20_niwa_temp_data'!G:G, "N/A")</f>
        <v>17.675972391922318</v>
      </c>
      <c r="T319">
        <f>_xlfn.XLOOKUP(Table2[[#This Row],[First_egg_lay_date]],'19-20_niwa_temp_data'!B:B,'19-20_niwa_temp_data'!G:G, "No Match")</f>
        <v>13.655768012089251</v>
      </c>
    </row>
    <row r="320" spans="1:20" hidden="1" x14ac:dyDescent="0.35">
      <c r="A320" t="s">
        <v>9</v>
      </c>
      <c r="B320" t="s">
        <v>18</v>
      </c>
      <c r="C320" s="3" t="s">
        <v>107</v>
      </c>
      <c r="D320" t="str">
        <f>_xlfn.XLOOKUP(Table2[[#This Row],[Female_ID ]],'19-20_female_cohort'!I:I,'19-20_female_cohort'!H:H, "No Match")</f>
        <v>2018/2019</v>
      </c>
      <c r="E320">
        <v>1</v>
      </c>
      <c r="F320" s="11">
        <v>43771</v>
      </c>
      <c r="G320">
        <f>_xlfn.XLOOKUP(Table2[[#This Row],[First_egg_lay_date]],'19-20_niwa_temp_data'!B:B,'19-20_niwa_temp_data'!G:G, "No Match")</f>
        <v>13.655768012089251</v>
      </c>
      <c r="H320">
        <v>4</v>
      </c>
      <c r="I320" s="11">
        <v>43774</v>
      </c>
      <c r="J320">
        <f>_xlfn.XLOOKUP(Table2[[#This Row],[Nest_box_ID]],Sheet1!A:A,Sheet1!L:L, "No Match")</f>
        <v>0</v>
      </c>
      <c r="K320" s="11">
        <v>43789</v>
      </c>
      <c r="L320">
        <f>_xlfn.XLOOKUP(Table2[[#This Row],[Nest_box_ID]],Sheet1!A:A,Sheet1!K:K, "No Match")</f>
        <v>15</v>
      </c>
      <c r="M320" s="11">
        <v>43776</v>
      </c>
      <c r="N320" s="16">
        <v>0.5753125</v>
      </c>
      <c r="O320">
        <v>3</v>
      </c>
      <c r="P320">
        <v>60</v>
      </c>
      <c r="Q320" t="s">
        <v>320</v>
      </c>
      <c r="R320">
        <v>2053</v>
      </c>
      <c r="S320">
        <f>_xlfn.XLOOKUP(Table2[[#This Row],[Obs_date]],'19-20_niwa_temp_data'!B:B,'19-20_niwa_temp_data'!G:G, "N/A")</f>
        <v>17.675972391922318</v>
      </c>
      <c r="T320">
        <f>_xlfn.XLOOKUP(Table2[[#This Row],[First_egg_lay_date]],'19-20_niwa_temp_data'!B:B,'19-20_niwa_temp_data'!G:G, "No Match")</f>
        <v>13.655768012089251</v>
      </c>
    </row>
    <row r="321" spans="1:20" x14ac:dyDescent="0.35">
      <c r="A321" t="s">
        <v>9</v>
      </c>
      <c r="B321" t="s">
        <v>18</v>
      </c>
      <c r="C321" s="3" t="s">
        <v>107</v>
      </c>
      <c r="D321" t="str">
        <f>_xlfn.XLOOKUP(Table2[[#This Row],[Female_ID ]],'19-20_female_cohort'!I:I,'19-20_female_cohort'!H:H, "No Match")</f>
        <v>2018/2019</v>
      </c>
      <c r="E321">
        <v>1</v>
      </c>
      <c r="F321" s="11">
        <v>43771</v>
      </c>
      <c r="G321">
        <f>_xlfn.XLOOKUP(Table2[[#This Row],[First_egg_lay_date]],'19-20_niwa_temp_data'!B:B,'19-20_niwa_temp_data'!G:G, "No Match")</f>
        <v>13.655768012089251</v>
      </c>
      <c r="H321">
        <v>4</v>
      </c>
      <c r="I321" s="11">
        <v>43774</v>
      </c>
      <c r="J321">
        <f>_xlfn.XLOOKUP(Table2[[#This Row],[Nest_box_ID]],Sheet1!A:A,Sheet1!L:L, "No Match")</f>
        <v>0</v>
      </c>
      <c r="K321" s="11">
        <v>43789</v>
      </c>
      <c r="L321">
        <f>_xlfn.XLOOKUP(Table2[[#This Row],[Nest_box_ID]],Sheet1!A:A,Sheet1!K:K, "No Match")</f>
        <v>15</v>
      </c>
      <c r="M321" s="11">
        <v>43776</v>
      </c>
      <c r="N321" s="16">
        <v>0.59907407407407409</v>
      </c>
      <c r="O321">
        <v>3</v>
      </c>
      <c r="P321">
        <v>60</v>
      </c>
      <c r="Q321" t="s">
        <v>319</v>
      </c>
      <c r="R321">
        <v>323</v>
      </c>
      <c r="S321">
        <f>_xlfn.XLOOKUP(Table2[[#This Row],[Obs_date]],'19-20_niwa_temp_data'!B:B,'19-20_niwa_temp_data'!G:G, "N/A")</f>
        <v>17.675972391922318</v>
      </c>
      <c r="T321">
        <f>_xlfn.XLOOKUP(Table2[[#This Row],[First_egg_lay_date]],'19-20_niwa_temp_data'!B:B,'19-20_niwa_temp_data'!G:G, "No Match")</f>
        <v>13.655768012089251</v>
      </c>
    </row>
    <row r="322" spans="1:20" hidden="1" x14ac:dyDescent="0.35">
      <c r="A322" t="s">
        <v>9</v>
      </c>
      <c r="B322" t="s">
        <v>18</v>
      </c>
      <c r="C322" s="3" t="s">
        <v>107</v>
      </c>
      <c r="D322" t="str">
        <f>_xlfn.XLOOKUP(Table2[[#This Row],[Female_ID ]],'19-20_female_cohort'!I:I,'19-20_female_cohort'!H:H, "No Match")</f>
        <v>2018/2019</v>
      </c>
      <c r="E322">
        <v>1</v>
      </c>
      <c r="F322" s="11">
        <v>43771</v>
      </c>
      <c r="G322">
        <f>_xlfn.XLOOKUP(Table2[[#This Row],[First_egg_lay_date]],'19-20_niwa_temp_data'!B:B,'19-20_niwa_temp_data'!G:G, "No Match")</f>
        <v>13.655768012089251</v>
      </c>
      <c r="H322">
        <v>4</v>
      </c>
      <c r="I322" s="11">
        <v>43774</v>
      </c>
      <c r="J322">
        <f>_xlfn.XLOOKUP(Table2[[#This Row],[Nest_box_ID]],Sheet1!A:A,Sheet1!L:L, "No Match")</f>
        <v>0</v>
      </c>
      <c r="K322" s="11">
        <v>43789</v>
      </c>
      <c r="L322">
        <f>_xlfn.XLOOKUP(Table2[[#This Row],[Nest_box_ID]],Sheet1!A:A,Sheet1!K:K, "No Match")</f>
        <v>15</v>
      </c>
      <c r="M322" s="11">
        <v>43776</v>
      </c>
      <c r="N322" s="16">
        <v>0.60281249999999997</v>
      </c>
      <c r="O322">
        <v>3</v>
      </c>
      <c r="P322">
        <v>60</v>
      </c>
      <c r="Q322" t="s">
        <v>320</v>
      </c>
      <c r="R322">
        <v>727</v>
      </c>
      <c r="S322">
        <f>_xlfn.XLOOKUP(Table2[[#This Row],[Obs_date]],'19-20_niwa_temp_data'!B:B,'19-20_niwa_temp_data'!G:G, "N/A")</f>
        <v>17.675972391922318</v>
      </c>
      <c r="T322">
        <f>_xlfn.XLOOKUP(Table2[[#This Row],[First_egg_lay_date]],'19-20_niwa_temp_data'!B:B,'19-20_niwa_temp_data'!G:G, "No Match")</f>
        <v>13.655768012089251</v>
      </c>
    </row>
    <row r="323" spans="1:20" x14ac:dyDescent="0.35">
      <c r="A323" t="s">
        <v>9</v>
      </c>
      <c r="B323" t="s">
        <v>18</v>
      </c>
      <c r="C323" s="3" t="s">
        <v>107</v>
      </c>
      <c r="D323" t="str">
        <f>_xlfn.XLOOKUP(Table2[[#This Row],[Female_ID ]],'19-20_female_cohort'!I:I,'19-20_female_cohort'!H:H, "No Match")</f>
        <v>2018/2019</v>
      </c>
      <c r="E323">
        <v>1</v>
      </c>
      <c r="F323" s="11">
        <v>43771</v>
      </c>
      <c r="G323">
        <f>_xlfn.XLOOKUP(Table2[[#This Row],[First_egg_lay_date]],'19-20_niwa_temp_data'!B:B,'19-20_niwa_temp_data'!G:G, "No Match")</f>
        <v>13.655768012089251</v>
      </c>
      <c r="H323">
        <v>4</v>
      </c>
      <c r="I323" s="11">
        <v>43774</v>
      </c>
      <c r="J323">
        <f>_xlfn.XLOOKUP(Table2[[#This Row],[Nest_box_ID]],Sheet1!A:A,Sheet1!L:L, "No Match")</f>
        <v>0</v>
      </c>
      <c r="K323" s="11">
        <v>43789</v>
      </c>
      <c r="L323">
        <f>_xlfn.XLOOKUP(Table2[[#This Row],[Nest_box_ID]],Sheet1!A:A,Sheet1!K:K, "No Match")</f>
        <v>15</v>
      </c>
      <c r="M323" s="11">
        <v>43776</v>
      </c>
      <c r="N323" s="16">
        <v>0.61122685185185188</v>
      </c>
      <c r="O323">
        <v>3</v>
      </c>
      <c r="P323">
        <v>60</v>
      </c>
      <c r="Q323" t="s">
        <v>319</v>
      </c>
      <c r="R323">
        <v>410</v>
      </c>
      <c r="S323">
        <f>_xlfn.XLOOKUP(Table2[[#This Row],[Obs_date]],'19-20_niwa_temp_data'!B:B,'19-20_niwa_temp_data'!G:G, "N/A")</f>
        <v>17.675972391922318</v>
      </c>
      <c r="T323">
        <f>_xlfn.XLOOKUP(Table2[[#This Row],[First_egg_lay_date]],'19-20_niwa_temp_data'!B:B,'19-20_niwa_temp_data'!G:G, "No Match")</f>
        <v>13.655768012089251</v>
      </c>
    </row>
    <row r="324" spans="1:20" hidden="1" x14ac:dyDescent="0.35">
      <c r="A324" t="s">
        <v>9</v>
      </c>
      <c r="B324" t="s">
        <v>18</v>
      </c>
      <c r="C324" s="3" t="s">
        <v>107</v>
      </c>
      <c r="D324" t="str">
        <f>_xlfn.XLOOKUP(Table2[[#This Row],[Female_ID ]],'19-20_female_cohort'!I:I,'19-20_female_cohort'!H:H, "No Match")</f>
        <v>2018/2019</v>
      </c>
      <c r="E324">
        <v>1</v>
      </c>
      <c r="F324" s="11">
        <v>43771</v>
      </c>
      <c r="G324">
        <f>_xlfn.XLOOKUP(Table2[[#This Row],[First_egg_lay_date]],'19-20_niwa_temp_data'!B:B,'19-20_niwa_temp_data'!G:G, "No Match")</f>
        <v>13.655768012089251</v>
      </c>
      <c r="H324">
        <v>4</v>
      </c>
      <c r="I324" s="11">
        <v>43774</v>
      </c>
      <c r="J324">
        <f>_xlfn.XLOOKUP(Table2[[#This Row],[Nest_box_ID]],Sheet1!A:A,Sheet1!L:L, "No Match")</f>
        <v>0</v>
      </c>
      <c r="K324" s="11">
        <v>43789</v>
      </c>
      <c r="L324">
        <f>_xlfn.XLOOKUP(Table2[[#This Row],[Nest_box_ID]],Sheet1!A:A,Sheet1!K:K, "No Match")</f>
        <v>15</v>
      </c>
      <c r="M324" s="11">
        <v>43776</v>
      </c>
      <c r="N324" s="16">
        <v>0.61597222222222225</v>
      </c>
      <c r="O324">
        <v>3</v>
      </c>
      <c r="P324">
        <v>60</v>
      </c>
      <c r="Q324" t="s">
        <v>320</v>
      </c>
      <c r="R324" t="s">
        <v>254</v>
      </c>
      <c r="S324">
        <f>_xlfn.XLOOKUP(Table2[[#This Row],[Obs_date]],'19-20_niwa_temp_data'!B:B,'19-20_niwa_temp_data'!G:G, "N/A")</f>
        <v>17.675972391922318</v>
      </c>
      <c r="T324">
        <f>_xlfn.XLOOKUP(Table2[[#This Row],[First_egg_lay_date]],'19-20_niwa_temp_data'!B:B,'19-20_niwa_temp_data'!G:G, "No Match")</f>
        <v>13.655768012089251</v>
      </c>
    </row>
    <row r="325" spans="1:20" hidden="1" x14ac:dyDescent="0.35">
      <c r="A325" t="s">
        <v>9</v>
      </c>
      <c r="B325" t="s">
        <v>18</v>
      </c>
      <c r="C325" s="3" t="s">
        <v>107</v>
      </c>
      <c r="D325" t="str">
        <f>_xlfn.XLOOKUP(Table2[[#This Row],[Female_ID ]],'19-20_female_cohort'!I:I,'19-20_female_cohort'!H:H, "No Match")</f>
        <v>2018/2019</v>
      </c>
      <c r="E325">
        <v>1</v>
      </c>
      <c r="F325" s="11">
        <v>43771</v>
      </c>
      <c r="G325">
        <f>_xlfn.XLOOKUP(Table2[[#This Row],[First_egg_lay_date]],'19-20_niwa_temp_data'!B:B,'19-20_niwa_temp_data'!G:G, "No Match")</f>
        <v>13.655768012089251</v>
      </c>
      <c r="H325">
        <v>4</v>
      </c>
      <c r="I325" s="11">
        <v>43774</v>
      </c>
      <c r="J325">
        <f>_xlfn.XLOOKUP(Table2[[#This Row],[Nest_box_ID]],Sheet1!A:A,Sheet1!L:L, "No Match")</f>
        <v>0</v>
      </c>
      <c r="K325" s="11">
        <v>43789</v>
      </c>
      <c r="L325">
        <f>_xlfn.XLOOKUP(Table2[[#This Row],[Nest_box_ID]],Sheet1!A:A,Sheet1!K:K, "No Match")</f>
        <v>15</v>
      </c>
      <c r="M325" s="11">
        <v>43776</v>
      </c>
      <c r="N325" s="16">
        <v>0.5753125</v>
      </c>
      <c r="O325">
        <v>1</v>
      </c>
      <c r="P325">
        <v>63</v>
      </c>
      <c r="Q325" t="s">
        <v>320</v>
      </c>
      <c r="R325">
        <v>2053</v>
      </c>
      <c r="S325">
        <f>_xlfn.XLOOKUP(Table2[[#This Row],[Obs_date]],'19-20_niwa_temp_data'!B:B,'19-20_niwa_temp_data'!G:G, "N/A")</f>
        <v>17.675972391922318</v>
      </c>
      <c r="T325">
        <f>_xlfn.XLOOKUP(Table2[[#This Row],[First_egg_lay_date]],'19-20_niwa_temp_data'!B:B,'19-20_niwa_temp_data'!G:G, "No Match")</f>
        <v>13.655768012089251</v>
      </c>
    </row>
    <row r="326" spans="1:20" x14ac:dyDescent="0.35">
      <c r="A326" t="s">
        <v>9</v>
      </c>
      <c r="B326" t="s">
        <v>18</v>
      </c>
      <c r="C326" s="3" t="s">
        <v>107</v>
      </c>
      <c r="D326" t="str">
        <f>_xlfn.XLOOKUP(Table2[[#This Row],[Female_ID ]],'19-20_female_cohort'!I:I,'19-20_female_cohort'!H:H, "No Match")</f>
        <v>2018/2019</v>
      </c>
      <c r="E326">
        <v>1</v>
      </c>
      <c r="F326" s="11">
        <v>43771</v>
      </c>
      <c r="G326">
        <f>_xlfn.XLOOKUP(Table2[[#This Row],[First_egg_lay_date]],'19-20_niwa_temp_data'!B:B,'19-20_niwa_temp_data'!G:G, "No Match")</f>
        <v>13.655768012089251</v>
      </c>
      <c r="H326">
        <v>4</v>
      </c>
      <c r="I326" s="11">
        <v>43774</v>
      </c>
      <c r="J326">
        <f>_xlfn.XLOOKUP(Table2[[#This Row],[Nest_box_ID]],Sheet1!A:A,Sheet1!L:L, "No Match")</f>
        <v>0</v>
      </c>
      <c r="K326" s="11">
        <v>43789</v>
      </c>
      <c r="L326">
        <f>_xlfn.XLOOKUP(Table2[[#This Row],[Nest_box_ID]],Sheet1!A:A,Sheet1!K:K, "No Match")</f>
        <v>15</v>
      </c>
      <c r="M326" s="11">
        <v>43776</v>
      </c>
      <c r="N326" s="16">
        <v>0.59907407407407409</v>
      </c>
      <c r="O326">
        <v>1</v>
      </c>
      <c r="P326">
        <v>63</v>
      </c>
      <c r="Q326" t="s">
        <v>319</v>
      </c>
      <c r="R326">
        <v>323</v>
      </c>
      <c r="S326">
        <f>_xlfn.XLOOKUP(Table2[[#This Row],[Obs_date]],'19-20_niwa_temp_data'!B:B,'19-20_niwa_temp_data'!G:G, "N/A")</f>
        <v>17.675972391922318</v>
      </c>
      <c r="T326">
        <f>_xlfn.XLOOKUP(Table2[[#This Row],[First_egg_lay_date]],'19-20_niwa_temp_data'!B:B,'19-20_niwa_temp_data'!G:G, "No Match")</f>
        <v>13.655768012089251</v>
      </c>
    </row>
    <row r="327" spans="1:20" hidden="1" x14ac:dyDescent="0.35">
      <c r="A327" t="s">
        <v>9</v>
      </c>
      <c r="B327" t="s">
        <v>18</v>
      </c>
      <c r="C327" s="3" t="s">
        <v>107</v>
      </c>
      <c r="D327" t="str">
        <f>_xlfn.XLOOKUP(Table2[[#This Row],[Female_ID ]],'19-20_female_cohort'!I:I,'19-20_female_cohort'!H:H, "No Match")</f>
        <v>2018/2019</v>
      </c>
      <c r="E327">
        <v>1</v>
      </c>
      <c r="F327" s="11">
        <v>43771</v>
      </c>
      <c r="G327">
        <f>_xlfn.XLOOKUP(Table2[[#This Row],[First_egg_lay_date]],'19-20_niwa_temp_data'!B:B,'19-20_niwa_temp_data'!G:G, "No Match")</f>
        <v>13.655768012089251</v>
      </c>
      <c r="H327">
        <v>4</v>
      </c>
      <c r="I327" s="11">
        <v>43774</v>
      </c>
      <c r="J327">
        <f>_xlfn.XLOOKUP(Table2[[#This Row],[Nest_box_ID]],Sheet1!A:A,Sheet1!L:L, "No Match")</f>
        <v>0</v>
      </c>
      <c r="K327" s="11">
        <v>43789</v>
      </c>
      <c r="L327">
        <f>_xlfn.XLOOKUP(Table2[[#This Row],[Nest_box_ID]],Sheet1!A:A,Sheet1!K:K, "No Match")</f>
        <v>15</v>
      </c>
      <c r="M327" s="11">
        <v>43776</v>
      </c>
      <c r="N327" s="16">
        <v>0.60281249999999997</v>
      </c>
      <c r="O327">
        <v>1</v>
      </c>
      <c r="P327">
        <v>63</v>
      </c>
      <c r="Q327" t="s">
        <v>320</v>
      </c>
      <c r="R327">
        <v>727</v>
      </c>
      <c r="S327">
        <f>_xlfn.XLOOKUP(Table2[[#This Row],[Obs_date]],'19-20_niwa_temp_data'!B:B,'19-20_niwa_temp_data'!G:G, "N/A")</f>
        <v>17.675972391922318</v>
      </c>
      <c r="T327">
        <f>_xlfn.XLOOKUP(Table2[[#This Row],[First_egg_lay_date]],'19-20_niwa_temp_data'!B:B,'19-20_niwa_temp_data'!G:G, "No Match")</f>
        <v>13.655768012089251</v>
      </c>
    </row>
    <row r="328" spans="1:20" x14ac:dyDescent="0.35">
      <c r="A328" t="s">
        <v>9</v>
      </c>
      <c r="B328" t="s">
        <v>18</v>
      </c>
      <c r="C328" s="3" t="s">
        <v>107</v>
      </c>
      <c r="D328" t="str">
        <f>_xlfn.XLOOKUP(Table2[[#This Row],[Female_ID ]],'19-20_female_cohort'!I:I,'19-20_female_cohort'!H:H, "No Match")</f>
        <v>2018/2019</v>
      </c>
      <c r="E328">
        <v>1</v>
      </c>
      <c r="F328" s="11">
        <v>43771</v>
      </c>
      <c r="G328">
        <f>_xlfn.XLOOKUP(Table2[[#This Row],[First_egg_lay_date]],'19-20_niwa_temp_data'!B:B,'19-20_niwa_temp_data'!G:G, "No Match")</f>
        <v>13.655768012089251</v>
      </c>
      <c r="H328">
        <v>4</v>
      </c>
      <c r="I328" s="11">
        <v>43774</v>
      </c>
      <c r="J328">
        <f>_xlfn.XLOOKUP(Table2[[#This Row],[Nest_box_ID]],Sheet1!A:A,Sheet1!L:L, "No Match")</f>
        <v>0</v>
      </c>
      <c r="K328" s="11">
        <v>43789</v>
      </c>
      <c r="L328">
        <f>_xlfn.XLOOKUP(Table2[[#This Row],[Nest_box_ID]],Sheet1!A:A,Sheet1!K:K, "No Match")</f>
        <v>15</v>
      </c>
      <c r="M328" s="11">
        <v>43776</v>
      </c>
      <c r="N328" s="16">
        <v>0.61122685185185188</v>
      </c>
      <c r="O328">
        <v>1</v>
      </c>
      <c r="P328">
        <v>63</v>
      </c>
      <c r="Q328" t="s">
        <v>319</v>
      </c>
      <c r="R328">
        <v>410</v>
      </c>
      <c r="S328">
        <f>_xlfn.XLOOKUP(Table2[[#This Row],[Obs_date]],'19-20_niwa_temp_data'!B:B,'19-20_niwa_temp_data'!G:G, "N/A")</f>
        <v>17.675972391922318</v>
      </c>
      <c r="T328">
        <f>_xlfn.XLOOKUP(Table2[[#This Row],[First_egg_lay_date]],'19-20_niwa_temp_data'!B:B,'19-20_niwa_temp_data'!G:G, "No Match")</f>
        <v>13.655768012089251</v>
      </c>
    </row>
    <row r="329" spans="1:20" hidden="1" x14ac:dyDescent="0.35">
      <c r="A329" t="s">
        <v>9</v>
      </c>
      <c r="B329" t="s">
        <v>18</v>
      </c>
      <c r="C329" s="3" t="s">
        <v>107</v>
      </c>
      <c r="D329" t="str">
        <f>_xlfn.XLOOKUP(Table2[[#This Row],[Female_ID ]],'19-20_female_cohort'!I:I,'19-20_female_cohort'!H:H, "No Match")</f>
        <v>2018/2019</v>
      </c>
      <c r="E329">
        <v>1</v>
      </c>
      <c r="F329" s="11">
        <v>43771</v>
      </c>
      <c r="G329">
        <f>_xlfn.XLOOKUP(Table2[[#This Row],[First_egg_lay_date]],'19-20_niwa_temp_data'!B:B,'19-20_niwa_temp_data'!G:G, "No Match")</f>
        <v>13.655768012089251</v>
      </c>
      <c r="H329">
        <v>4</v>
      </c>
      <c r="I329" s="11">
        <v>43774</v>
      </c>
      <c r="J329">
        <f>_xlfn.XLOOKUP(Table2[[#This Row],[Nest_box_ID]],Sheet1!A:A,Sheet1!L:L, "No Match")</f>
        <v>0</v>
      </c>
      <c r="K329" s="11">
        <v>43789</v>
      </c>
      <c r="L329">
        <f>_xlfn.XLOOKUP(Table2[[#This Row],[Nest_box_ID]],Sheet1!A:A,Sheet1!K:K, "No Match")</f>
        <v>15</v>
      </c>
      <c r="M329" s="11">
        <v>43776</v>
      </c>
      <c r="N329" s="16">
        <v>0.61597222222222225</v>
      </c>
      <c r="O329">
        <v>1</v>
      </c>
      <c r="P329">
        <v>63</v>
      </c>
      <c r="Q329" t="s">
        <v>320</v>
      </c>
      <c r="R329" t="s">
        <v>254</v>
      </c>
      <c r="S329">
        <f>_xlfn.XLOOKUP(Table2[[#This Row],[Obs_date]],'19-20_niwa_temp_data'!B:B,'19-20_niwa_temp_data'!G:G, "N/A")</f>
        <v>17.675972391922318</v>
      </c>
      <c r="T329">
        <f>_xlfn.XLOOKUP(Table2[[#This Row],[First_egg_lay_date]],'19-20_niwa_temp_data'!B:B,'19-20_niwa_temp_data'!G:G, "No Match")</f>
        <v>13.655768012089251</v>
      </c>
    </row>
    <row r="330" spans="1:20" x14ac:dyDescent="0.35">
      <c r="A330" t="s">
        <v>9</v>
      </c>
      <c r="B330" t="s">
        <v>69</v>
      </c>
      <c r="C330" s="3" t="s">
        <v>158</v>
      </c>
      <c r="D330" t="str">
        <f>_xlfn.XLOOKUP(Table2[[#This Row],[Female_ID ]],'19-20_female_cohort'!I:I,'19-20_female_cohort'!H:H, "No Match")</f>
        <v>2017/2018</v>
      </c>
      <c r="E330">
        <v>2</v>
      </c>
      <c r="F330" s="11">
        <v>43802</v>
      </c>
      <c r="G330">
        <f>_xlfn.XLOOKUP(Table2[[#This Row],[First_egg_lay_date]],'19-20_niwa_temp_data'!B:B,'19-20_niwa_temp_data'!G:G, "No Match")</f>
        <v>18.244999314880776</v>
      </c>
      <c r="H330">
        <v>4</v>
      </c>
      <c r="I330" s="11">
        <v>43805</v>
      </c>
      <c r="J330">
        <f>_xlfn.XLOOKUP(Table2[[#This Row],[Nest_box_ID]],Sheet1!A:A,Sheet1!L:L, "No Match")</f>
        <v>0</v>
      </c>
      <c r="K330" s="11">
        <v>43819</v>
      </c>
      <c r="L330">
        <f>_xlfn.XLOOKUP(Table2[[#This Row],[Nest_box_ID]],Sheet1!A:A,Sheet1!K:K, "No Match")</f>
        <v>14</v>
      </c>
      <c r="M330" s="11">
        <v>43806</v>
      </c>
      <c r="N330" s="16">
        <v>0.51105324074074077</v>
      </c>
      <c r="O330">
        <v>1</v>
      </c>
      <c r="P330">
        <v>70</v>
      </c>
      <c r="Q330" t="s">
        <v>319</v>
      </c>
      <c r="R330">
        <v>341</v>
      </c>
      <c r="S330">
        <f>_xlfn.XLOOKUP(Table2[[#This Row],[Obs_date]],'19-20_niwa_temp_data'!B:B,'19-20_niwa_temp_data'!G:G, "N/A")</f>
        <v>18.187358246870268</v>
      </c>
      <c r="T330">
        <f>_xlfn.XLOOKUP(Table2[[#This Row],[First_egg_lay_date]],'19-20_niwa_temp_data'!B:B,'19-20_niwa_temp_data'!G:G, "No Match")</f>
        <v>18.244999314880776</v>
      </c>
    </row>
    <row r="331" spans="1:20" hidden="1" x14ac:dyDescent="0.35">
      <c r="A331" t="s">
        <v>9</v>
      </c>
      <c r="B331" t="s">
        <v>69</v>
      </c>
      <c r="C331" s="3" t="s">
        <v>158</v>
      </c>
      <c r="D331" t="str">
        <f>_xlfn.XLOOKUP(Table2[[#This Row],[Female_ID ]],'19-20_female_cohort'!I:I,'19-20_female_cohort'!H:H, "No Match")</f>
        <v>2017/2018</v>
      </c>
      <c r="E331">
        <v>2</v>
      </c>
      <c r="F331" s="11">
        <v>43802</v>
      </c>
      <c r="G331">
        <f>_xlfn.XLOOKUP(Table2[[#This Row],[First_egg_lay_date]],'19-20_niwa_temp_data'!B:B,'19-20_niwa_temp_data'!G:G, "No Match")</f>
        <v>18.244999314880776</v>
      </c>
      <c r="H331">
        <v>4</v>
      </c>
      <c r="I331" s="11">
        <v>43805</v>
      </c>
      <c r="J331">
        <f>_xlfn.XLOOKUP(Table2[[#This Row],[Nest_box_ID]],Sheet1!A:A,Sheet1!L:L, "No Match")</f>
        <v>0</v>
      </c>
      <c r="K331" s="11">
        <v>43819</v>
      </c>
      <c r="L331">
        <f>_xlfn.XLOOKUP(Table2[[#This Row],[Nest_box_ID]],Sheet1!A:A,Sheet1!K:K, "No Match")</f>
        <v>14</v>
      </c>
      <c r="M331" s="11">
        <v>43806</v>
      </c>
      <c r="N331" s="16">
        <v>0.51500000000000001</v>
      </c>
      <c r="O331">
        <v>1</v>
      </c>
      <c r="P331">
        <v>70</v>
      </c>
      <c r="Q331" t="s">
        <v>320</v>
      </c>
      <c r="R331">
        <v>1124</v>
      </c>
      <c r="S331">
        <f>_xlfn.XLOOKUP(Table2[[#This Row],[Obs_date]],'19-20_niwa_temp_data'!B:B,'19-20_niwa_temp_data'!G:G, "N/A")</f>
        <v>18.187358246870268</v>
      </c>
      <c r="T331">
        <f>_xlfn.XLOOKUP(Table2[[#This Row],[First_egg_lay_date]],'19-20_niwa_temp_data'!B:B,'19-20_niwa_temp_data'!G:G, "No Match")</f>
        <v>18.244999314880776</v>
      </c>
    </row>
    <row r="332" spans="1:20" x14ac:dyDescent="0.35">
      <c r="A332" t="s">
        <v>9</v>
      </c>
      <c r="B332" t="s">
        <v>69</v>
      </c>
      <c r="C332" s="3" t="s">
        <v>158</v>
      </c>
      <c r="D332" t="str">
        <f>_xlfn.XLOOKUP(Table2[[#This Row],[Female_ID ]],'19-20_female_cohort'!I:I,'19-20_female_cohort'!H:H, "No Match")</f>
        <v>2017/2018</v>
      </c>
      <c r="E332">
        <v>2</v>
      </c>
      <c r="F332" s="11">
        <v>43802</v>
      </c>
      <c r="G332">
        <f>_xlfn.XLOOKUP(Table2[[#This Row],[First_egg_lay_date]],'19-20_niwa_temp_data'!B:B,'19-20_niwa_temp_data'!G:G, "No Match")</f>
        <v>18.244999314880776</v>
      </c>
      <c r="H332">
        <v>4</v>
      </c>
      <c r="I332" s="11">
        <v>43805</v>
      </c>
      <c r="J332">
        <f>_xlfn.XLOOKUP(Table2[[#This Row],[Nest_box_ID]],Sheet1!A:A,Sheet1!L:L, "No Match")</f>
        <v>0</v>
      </c>
      <c r="K332" s="11">
        <v>43819</v>
      </c>
      <c r="L332">
        <f>_xlfn.XLOOKUP(Table2[[#This Row],[Nest_box_ID]],Sheet1!A:A,Sheet1!K:K, "No Match")</f>
        <v>14</v>
      </c>
      <c r="M332" s="11">
        <v>43806</v>
      </c>
      <c r="N332" s="16">
        <v>0.52800925925925923</v>
      </c>
      <c r="O332">
        <v>1</v>
      </c>
      <c r="P332">
        <v>70</v>
      </c>
      <c r="Q332" t="s">
        <v>319</v>
      </c>
      <c r="R332">
        <v>262</v>
      </c>
      <c r="S332">
        <f>_xlfn.XLOOKUP(Table2[[#This Row],[Obs_date]],'19-20_niwa_temp_data'!B:B,'19-20_niwa_temp_data'!G:G, "N/A")</f>
        <v>18.187358246870268</v>
      </c>
      <c r="T332">
        <f>_xlfn.XLOOKUP(Table2[[#This Row],[First_egg_lay_date]],'19-20_niwa_temp_data'!B:B,'19-20_niwa_temp_data'!G:G, "No Match")</f>
        <v>18.244999314880776</v>
      </c>
    </row>
    <row r="333" spans="1:20" hidden="1" x14ac:dyDescent="0.35">
      <c r="A333" t="s">
        <v>9</v>
      </c>
      <c r="B333" t="s">
        <v>69</v>
      </c>
      <c r="C333" s="3" t="s">
        <v>158</v>
      </c>
      <c r="D333" t="str">
        <f>_xlfn.XLOOKUP(Table2[[#This Row],[Female_ID ]],'19-20_female_cohort'!I:I,'19-20_female_cohort'!H:H, "No Match")</f>
        <v>2017/2018</v>
      </c>
      <c r="E333">
        <v>2</v>
      </c>
      <c r="F333" s="11">
        <v>43802</v>
      </c>
      <c r="G333">
        <f>_xlfn.XLOOKUP(Table2[[#This Row],[First_egg_lay_date]],'19-20_niwa_temp_data'!B:B,'19-20_niwa_temp_data'!G:G, "No Match")</f>
        <v>18.244999314880776</v>
      </c>
      <c r="H333">
        <v>4</v>
      </c>
      <c r="I333" s="11">
        <v>43805</v>
      </c>
      <c r="J333">
        <f>_xlfn.XLOOKUP(Table2[[#This Row],[Nest_box_ID]],Sheet1!A:A,Sheet1!L:L, "No Match")</f>
        <v>0</v>
      </c>
      <c r="K333" s="11">
        <v>43819</v>
      </c>
      <c r="L333">
        <f>_xlfn.XLOOKUP(Table2[[#This Row],[Nest_box_ID]],Sheet1!A:A,Sheet1!K:K, "No Match")</f>
        <v>14</v>
      </c>
      <c r="M333" s="11">
        <v>43806</v>
      </c>
      <c r="N333" s="16">
        <v>0.53104166666666663</v>
      </c>
      <c r="O333">
        <v>1</v>
      </c>
      <c r="P333">
        <v>70</v>
      </c>
      <c r="Q333" t="s">
        <v>320</v>
      </c>
      <c r="R333" t="s">
        <v>254</v>
      </c>
      <c r="S333">
        <f>_xlfn.XLOOKUP(Table2[[#This Row],[Obs_date]],'19-20_niwa_temp_data'!B:B,'19-20_niwa_temp_data'!G:G, "N/A")</f>
        <v>18.187358246870268</v>
      </c>
      <c r="T333">
        <f>_xlfn.XLOOKUP(Table2[[#This Row],[First_egg_lay_date]],'19-20_niwa_temp_data'!B:B,'19-20_niwa_temp_data'!G:G, "No Match")</f>
        <v>18.244999314880776</v>
      </c>
    </row>
    <row r="334" spans="1:20" x14ac:dyDescent="0.35">
      <c r="A334" t="s">
        <v>9</v>
      </c>
      <c r="B334" t="s">
        <v>17</v>
      </c>
      <c r="C334" s="3" t="s">
        <v>106</v>
      </c>
      <c r="D334" t="str">
        <f>_xlfn.XLOOKUP(Table2[[#This Row],[Female_ID ]],'19-20_female_cohort'!I:I,'19-20_female_cohort'!H:H, "No Match")</f>
        <v>2015/2016</v>
      </c>
      <c r="E334">
        <v>4</v>
      </c>
      <c r="F334" s="11">
        <v>43770</v>
      </c>
      <c r="G334">
        <f>_xlfn.XLOOKUP(Table2[[#This Row],[First_egg_lay_date]],'19-20_niwa_temp_data'!B:B,'19-20_niwa_temp_data'!G:G, "No Match")</f>
        <v>14.032106042928838</v>
      </c>
      <c r="H334">
        <v>4</v>
      </c>
      <c r="I334" s="11">
        <v>43773</v>
      </c>
      <c r="J334">
        <f>_xlfn.XLOOKUP(Table2[[#This Row],[Nest_box_ID]],Sheet1!A:A,Sheet1!L:L, "No Match")</f>
        <v>0</v>
      </c>
      <c r="K334" s="11">
        <v>43787</v>
      </c>
      <c r="L334">
        <f>_xlfn.XLOOKUP(Table2[[#This Row],[Nest_box_ID]],Sheet1!A:A,Sheet1!K:K, "No Match")</f>
        <v>14</v>
      </c>
      <c r="M334" s="11">
        <v>43774</v>
      </c>
      <c r="N334" s="16">
        <v>0.5229166666666667</v>
      </c>
      <c r="O334">
        <v>2</v>
      </c>
      <c r="P334">
        <v>60</v>
      </c>
      <c r="Q334" t="s">
        <v>319</v>
      </c>
      <c r="R334">
        <v>120</v>
      </c>
      <c r="S334">
        <f>_xlfn.XLOOKUP(Table2[[#This Row],[Obs_date]],'19-20_niwa_temp_data'!B:B,'19-20_niwa_temp_data'!G:G, "N/A")</f>
        <v>16.129166128476697</v>
      </c>
      <c r="T334">
        <f>_xlfn.XLOOKUP(Table2[[#This Row],[First_egg_lay_date]],'19-20_niwa_temp_data'!B:B,'19-20_niwa_temp_data'!G:G, "No Match")</f>
        <v>14.032106042928838</v>
      </c>
    </row>
    <row r="335" spans="1:20" hidden="1" x14ac:dyDescent="0.35">
      <c r="A335" t="s">
        <v>9</v>
      </c>
      <c r="B335" t="s">
        <v>17</v>
      </c>
      <c r="C335" s="3" t="s">
        <v>106</v>
      </c>
      <c r="D335" t="str">
        <f>_xlfn.XLOOKUP(Table2[[#This Row],[Female_ID ]],'19-20_female_cohort'!I:I,'19-20_female_cohort'!H:H, "No Match")</f>
        <v>2015/2016</v>
      </c>
      <c r="E335">
        <v>4</v>
      </c>
      <c r="F335" s="11">
        <v>43770</v>
      </c>
      <c r="G335">
        <f>_xlfn.XLOOKUP(Table2[[#This Row],[First_egg_lay_date]],'19-20_niwa_temp_data'!B:B,'19-20_niwa_temp_data'!G:G, "No Match")</f>
        <v>14.032106042928838</v>
      </c>
      <c r="H335">
        <v>4</v>
      </c>
      <c r="I335" s="11">
        <v>43773</v>
      </c>
      <c r="J335">
        <f>_xlfn.XLOOKUP(Table2[[#This Row],[Nest_box_ID]],Sheet1!A:A,Sheet1!L:L, "No Match")</f>
        <v>0</v>
      </c>
      <c r="K335" s="11">
        <v>43787</v>
      </c>
      <c r="L335">
        <f>_xlfn.XLOOKUP(Table2[[#This Row],[Nest_box_ID]],Sheet1!A:A,Sheet1!K:K, "No Match")</f>
        <v>14</v>
      </c>
      <c r="M335" s="11">
        <v>43774</v>
      </c>
      <c r="N335" s="16">
        <v>0.52430555555555558</v>
      </c>
      <c r="O335">
        <v>2</v>
      </c>
      <c r="P335">
        <v>60</v>
      </c>
      <c r="Q335" t="s">
        <v>320</v>
      </c>
      <c r="R335">
        <v>600</v>
      </c>
      <c r="S335">
        <f>_xlfn.XLOOKUP(Table2[[#This Row],[Obs_date]],'19-20_niwa_temp_data'!B:B,'19-20_niwa_temp_data'!G:G, "N/A")</f>
        <v>16.129166128476697</v>
      </c>
      <c r="T335">
        <f>_xlfn.XLOOKUP(Table2[[#This Row],[First_egg_lay_date]],'19-20_niwa_temp_data'!B:B,'19-20_niwa_temp_data'!G:G, "No Match")</f>
        <v>14.032106042928838</v>
      </c>
    </row>
    <row r="336" spans="1:20" x14ac:dyDescent="0.35">
      <c r="A336" t="s">
        <v>9</v>
      </c>
      <c r="B336" t="s">
        <v>17</v>
      </c>
      <c r="C336" s="3" t="s">
        <v>106</v>
      </c>
      <c r="D336" t="str">
        <f>_xlfn.XLOOKUP(Table2[[#This Row],[Female_ID ]],'19-20_female_cohort'!I:I,'19-20_female_cohort'!H:H, "No Match")</f>
        <v>2015/2016</v>
      </c>
      <c r="E336">
        <v>4</v>
      </c>
      <c r="F336" s="11">
        <v>43770</v>
      </c>
      <c r="G336">
        <f>_xlfn.XLOOKUP(Table2[[#This Row],[First_egg_lay_date]],'19-20_niwa_temp_data'!B:B,'19-20_niwa_temp_data'!G:G, "No Match")</f>
        <v>14.032106042928838</v>
      </c>
      <c r="H336">
        <v>4</v>
      </c>
      <c r="I336" s="11">
        <v>43773</v>
      </c>
      <c r="J336">
        <f>_xlfn.XLOOKUP(Table2[[#This Row],[Nest_box_ID]],Sheet1!A:A,Sheet1!L:L, "No Match")</f>
        <v>0</v>
      </c>
      <c r="K336" s="11">
        <v>43787</v>
      </c>
      <c r="L336">
        <f>_xlfn.XLOOKUP(Table2[[#This Row],[Nest_box_ID]],Sheet1!A:A,Sheet1!K:K, "No Match")</f>
        <v>14</v>
      </c>
      <c r="M336" s="11">
        <v>43774</v>
      </c>
      <c r="N336" s="16">
        <v>0.53125</v>
      </c>
      <c r="O336">
        <v>2</v>
      </c>
      <c r="P336">
        <v>60</v>
      </c>
      <c r="Q336" t="s">
        <v>319</v>
      </c>
      <c r="R336">
        <v>410</v>
      </c>
      <c r="S336">
        <f>_xlfn.XLOOKUP(Table2[[#This Row],[Obs_date]],'19-20_niwa_temp_data'!B:B,'19-20_niwa_temp_data'!G:G, "N/A")</f>
        <v>16.129166128476697</v>
      </c>
      <c r="T336">
        <f>_xlfn.XLOOKUP(Table2[[#This Row],[First_egg_lay_date]],'19-20_niwa_temp_data'!B:B,'19-20_niwa_temp_data'!G:G, "No Match")</f>
        <v>14.032106042928838</v>
      </c>
    </row>
    <row r="337" spans="1:20" hidden="1" x14ac:dyDescent="0.35">
      <c r="A337" t="s">
        <v>9</v>
      </c>
      <c r="B337" t="s">
        <v>17</v>
      </c>
      <c r="C337" s="3" t="s">
        <v>106</v>
      </c>
      <c r="D337" t="str">
        <f>_xlfn.XLOOKUP(Table2[[#This Row],[Female_ID ]],'19-20_female_cohort'!I:I,'19-20_female_cohort'!H:H, "No Match")</f>
        <v>2015/2016</v>
      </c>
      <c r="E337">
        <v>4</v>
      </c>
      <c r="F337" s="11">
        <v>43770</v>
      </c>
      <c r="G337">
        <f>_xlfn.XLOOKUP(Table2[[#This Row],[First_egg_lay_date]],'19-20_niwa_temp_data'!B:B,'19-20_niwa_temp_data'!G:G, "No Match")</f>
        <v>14.032106042928838</v>
      </c>
      <c r="H337">
        <v>4</v>
      </c>
      <c r="I337" s="11">
        <v>43773</v>
      </c>
      <c r="J337">
        <f>_xlfn.XLOOKUP(Table2[[#This Row],[Nest_box_ID]],Sheet1!A:A,Sheet1!L:L, "No Match")</f>
        <v>0</v>
      </c>
      <c r="K337" s="11">
        <v>43787</v>
      </c>
      <c r="L337">
        <f>_xlfn.XLOOKUP(Table2[[#This Row],[Nest_box_ID]],Sheet1!A:A,Sheet1!K:K, "No Match")</f>
        <v>14</v>
      </c>
      <c r="M337" s="11">
        <v>43774</v>
      </c>
      <c r="N337" s="16">
        <v>0.53599537037037037</v>
      </c>
      <c r="O337">
        <v>2</v>
      </c>
      <c r="P337">
        <v>60</v>
      </c>
      <c r="Q337" t="s">
        <v>320</v>
      </c>
      <c r="R337">
        <v>2130</v>
      </c>
      <c r="S337">
        <f>_xlfn.XLOOKUP(Table2[[#This Row],[Obs_date]],'19-20_niwa_temp_data'!B:B,'19-20_niwa_temp_data'!G:G, "N/A")</f>
        <v>16.129166128476697</v>
      </c>
      <c r="T337">
        <f>_xlfn.XLOOKUP(Table2[[#This Row],[First_egg_lay_date]],'19-20_niwa_temp_data'!B:B,'19-20_niwa_temp_data'!G:G, "No Match")</f>
        <v>14.032106042928838</v>
      </c>
    </row>
    <row r="338" spans="1:20" x14ac:dyDescent="0.35">
      <c r="A338" t="s">
        <v>9</v>
      </c>
      <c r="B338" t="s">
        <v>17</v>
      </c>
      <c r="C338" s="3" t="s">
        <v>106</v>
      </c>
      <c r="D338" t="str">
        <f>_xlfn.XLOOKUP(Table2[[#This Row],[Female_ID ]],'19-20_female_cohort'!I:I,'19-20_female_cohort'!H:H, "No Match")</f>
        <v>2015/2016</v>
      </c>
      <c r="E338">
        <v>4</v>
      </c>
      <c r="F338" s="11">
        <v>43770</v>
      </c>
      <c r="G338">
        <f>_xlfn.XLOOKUP(Table2[[#This Row],[First_egg_lay_date]],'19-20_niwa_temp_data'!B:B,'19-20_niwa_temp_data'!G:G, "No Match")</f>
        <v>14.032106042928838</v>
      </c>
      <c r="H338">
        <v>4</v>
      </c>
      <c r="I338" s="11">
        <v>43773</v>
      </c>
      <c r="J338">
        <f>_xlfn.XLOOKUP(Table2[[#This Row],[Nest_box_ID]],Sheet1!A:A,Sheet1!L:L, "No Match")</f>
        <v>0</v>
      </c>
      <c r="K338" s="11">
        <v>43787</v>
      </c>
      <c r="L338">
        <f>_xlfn.XLOOKUP(Table2[[#This Row],[Nest_box_ID]],Sheet1!A:A,Sheet1!K:K, "No Match")</f>
        <v>14</v>
      </c>
      <c r="M338" s="11">
        <v>43774</v>
      </c>
      <c r="N338" s="16">
        <v>0.56064814814814812</v>
      </c>
      <c r="O338">
        <v>2</v>
      </c>
      <c r="P338">
        <v>60</v>
      </c>
      <c r="Q338" t="s">
        <v>319</v>
      </c>
      <c r="R338">
        <v>340</v>
      </c>
      <c r="S338">
        <f>_xlfn.XLOOKUP(Table2[[#This Row],[Obs_date]],'19-20_niwa_temp_data'!B:B,'19-20_niwa_temp_data'!G:G, "N/A")</f>
        <v>16.129166128476697</v>
      </c>
      <c r="T338">
        <f>_xlfn.XLOOKUP(Table2[[#This Row],[First_egg_lay_date]],'19-20_niwa_temp_data'!B:B,'19-20_niwa_temp_data'!G:G, "No Match")</f>
        <v>14.032106042928838</v>
      </c>
    </row>
    <row r="339" spans="1:20" hidden="1" x14ac:dyDescent="0.35">
      <c r="A339" t="s">
        <v>9</v>
      </c>
      <c r="B339" t="s">
        <v>17</v>
      </c>
      <c r="C339" s="3" t="s">
        <v>106</v>
      </c>
      <c r="D339" t="str">
        <f>_xlfn.XLOOKUP(Table2[[#This Row],[Female_ID ]],'19-20_female_cohort'!I:I,'19-20_female_cohort'!H:H, "No Match")</f>
        <v>2015/2016</v>
      </c>
      <c r="E339">
        <v>4</v>
      </c>
      <c r="F339" s="11">
        <v>43770</v>
      </c>
      <c r="G339">
        <f>_xlfn.XLOOKUP(Table2[[#This Row],[First_egg_lay_date]],'19-20_niwa_temp_data'!B:B,'19-20_niwa_temp_data'!G:G, "No Match")</f>
        <v>14.032106042928838</v>
      </c>
      <c r="H339">
        <v>4</v>
      </c>
      <c r="I339" s="11">
        <v>43773</v>
      </c>
      <c r="J339">
        <f>_xlfn.XLOOKUP(Table2[[#This Row],[Nest_box_ID]],Sheet1!A:A,Sheet1!L:L, "No Match")</f>
        <v>0</v>
      </c>
      <c r="K339" s="11">
        <v>43787</v>
      </c>
      <c r="L339">
        <f>_xlfn.XLOOKUP(Table2[[#This Row],[Nest_box_ID]],Sheet1!A:A,Sheet1!K:K, "No Match")</f>
        <v>14</v>
      </c>
      <c r="M339" s="11">
        <v>43774</v>
      </c>
      <c r="N339" s="16">
        <v>0.56458333333333333</v>
      </c>
      <c r="O339">
        <v>2</v>
      </c>
      <c r="P339">
        <v>60</v>
      </c>
      <c r="Q339" t="s">
        <v>320</v>
      </c>
      <c r="R339" t="s">
        <v>254</v>
      </c>
      <c r="S339">
        <f>_xlfn.XLOOKUP(Table2[[#This Row],[Obs_date]],'19-20_niwa_temp_data'!B:B,'19-20_niwa_temp_data'!G:G, "N/A")</f>
        <v>16.129166128476697</v>
      </c>
      <c r="T339">
        <f>_xlfn.XLOOKUP(Table2[[#This Row],[First_egg_lay_date]],'19-20_niwa_temp_data'!B:B,'19-20_niwa_temp_data'!G:G, "No Match")</f>
        <v>14.032106042928838</v>
      </c>
    </row>
    <row r="340" spans="1:20" x14ac:dyDescent="0.35">
      <c r="A340" t="s">
        <v>9</v>
      </c>
      <c r="B340" t="s">
        <v>17</v>
      </c>
      <c r="C340" s="3" t="s">
        <v>106</v>
      </c>
      <c r="D340" t="str">
        <f>_xlfn.XLOOKUP(Table2[[#This Row],[Female_ID ]],'19-20_female_cohort'!I:I,'19-20_female_cohort'!H:H, "No Match")</f>
        <v>2015/2016</v>
      </c>
      <c r="E340">
        <v>4</v>
      </c>
      <c r="F340" s="11">
        <v>43770</v>
      </c>
      <c r="G340">
        <f>_xlfn.XLOOKUP(Table2[[#This Row],[First_egg_lay_date]],'19-20_niwa_temp_data'!B:B,'19-20_niwa_temp_data'!G:G, "No Match")</f>
        <v>14.032106042928838</v>
      </c>
      <c r="H340">
        <v>4</v>
      </c>
      <c r="I340" s="11">
        <v>43773</v>
      </c>
      <c r="J340">
        <f>_xlfn.XLOOKUP(Table2[[#This Row],[Nest_box_ID]],Sheet1!A:A,Sheet1!L:L, "No Match")</f>
        <v>0</v>
      </c>
      <c r="K340" s="11">
        <v>43787</v>
      </c>
      <c r="L340">
        <f>_xlfn.XLOOKUP(Table2[[#This Row],[Nest_box_ID]],Sheet1!A:A,Sheet1!K:K, "No Match")</f>
        <v>14</v>
      </c>
      <c r="M340" s="11">
        <v>43781</v>
      </c>
      <c r="N340" s="16">
        <v>0.42151620370370368</v>
      </c>
      <c r="O340">
        <v>8</v>
      </c>
      <c r="P340">
        <v>93</v>
      </c>
      <c r="Q340" t="s">
        <v>319</v>
      </c>
      <c r="R340">
        <v>370</v>
      </c>
      <c r="S340">
        <f>_xlfn.XLOOKUP(Table2[[#This Row],[Obs_date]],'19-20_niwa_temp_data'!B:B,'19-20_niwa_temp_data'!G:G, "N/A")</f>
        <v>14.342245291445828</v>
      </c>
      <c r="T340">
        <f>_xlfn.XLOOKUP(Table2[[#This Row],[First_egg_lay_date]],'19-20_niwa_temp_data'!B:B,'19-20_niwa_temp_data'!G:G, "No Match")</f>
        <v>14.032106042928838</v>
      </c>
    </row>
    <row r="341" spans="1:20" hidden="1" x14ac:dyDescent="0.35">
      <c r="A341" t="s">
        <v>9</v>
      </c>
      <c r="B341" t="s">
        <v>17</v>
      </c>
      <c r="C341" s="3" t="s">
        <v>106</v>
      </c>
      <c r="D341" t="str">
        <f>_xlfn.XLOOKUP(Table2[[#This Row],[Female_ID ]],'19-20_female_cohort'!I:I,'19-20_female_cohort'!H:H, "No Match")</f>
        <v>2015/2016</v>
      </c>
      <c r="E341">
        <v>4</v>
      </c>
      <c r="F341" s="11">
        <v>43770</v>
      </c>
      <c r="G341">
        <f>_xlfn.XLOOKUP(Table2[[#This Row],[First_egg_lay_date]],'19-20_niwa_temp_data'!B:B,'19-20_niwa_temp_data'!G:G, "No Match")</f>
        <v>14.032106042928838</v>
      </c>
      <c r="H341">
        <v>4</v>
      </c>
      <c r="I341" s="11">
        <v>43773</v>
      </c>
      <c r="J341">
        <f>_xlfn.XLOOKUP(Table2[[#This Row],[Nest_box_ID]],Sheet1!A:A,Sheet1!L:L, "No Match")</f>
        <v>0</v>
      </c>
      <c r="K341" s="11">
        <v>43787</v>
      </c>
      <c r="L341">
        <f>_xlfn.XLOOKUP(Table2[[#This Row],[Nest_box_ID]],Sheet1!A:A,Sheet1!K:K, "No Match")</f>
        <v>14</v>
      </c>
      <c r="M341" s="11">
        <v>43781</v>
      </c>
      <c r="N341" s="16">
        <v>0.42579861111111111</v>
      </c>
      <c r="O341">
        <v>8</v>
      </c>
      <c r="P341">
        <v>93</v>
      </c>
      <c r="Q341" t="s">
        <v>320</v>
      </c>
      <c r="R341">
        <v>881</v>
      </c>
      <c r="S341">
        <f>_xlfn.XLOOKUP(Table2[[#This Row],[Obs_date]],'19-20_niwa_temp_data'!B:B,'19-20_niwa_temp_data'!G:G, "N/A")</f>
        <v>14.342245291445828</v>
      </c>
      <c r="T341">
        <f>_xlfn.XLOOKUP(Table2[[#This Row],[First_egg_lay_date]],'19-20_niwa_temp_data'!B:B,'19-20_niwa_temp_data'!G:G, "No Match")</f>
        <v>14.032106042928838</v>
      </c>
    </row>
    <row r="342" spans="1:20" x14ac:dyDescent="0.35">
      <c r="A342" t="s">
        <v>9</v>
      </c>
      <c r="B342" t="s">
        <v>17</v>
      </c>
      <c r="C342" s="3" t="s">
        <v>106</v>
      </c>
      <c r="D342" t="str">
        <f>_xlfn.XLOOKUP(Table2[[#This Row],[Female_ID ]],'19-20_female_cohort'!I:I,'19-20_female_cohort'!H:H, "No Match")</f>
        <v>2015/2016</v>
      </c>
      <c r="E342">
        <v>4</v>
      </c>
      <c r="F342" s="11">
        <v>43770</v>
      </c>
      <c r="G342">
        <f>_xlfn.XLOOKUP(Table2[[#This Row],[First_egg_lay_date]],'19-20_niwa_temp_data'!B:B,'19-20_niwa_temp_data'!G:G, "No Match")</f>
        <v>14.032106042928838</v>
      </c>
      <c r="H342">
        <v>4</v>
      </c>
      <c r="I342" s="11">
        <v>43773</v>
      </c>
      <c r="J342">
        <f>_xlfn.XLOOKUP(Table2[[#This Row],[Nest_box_ID]],Sheet1!A:A,Sheet1!L:L, "No Match")</f>
        <v>0</v>
      </c>
      <c r="K342" s="11">
        <v>43787</v>
      </c>
      <c r="L342">
        <f>_xlfn.XLOOKUP(Table2[[#This Row],[Nest_box_ID]],Sheet1!A:A,Sheet1!K:K, "No Match")</f>
        <v>14</v>
      </c>
      <c r="M342" s="11">
        <v>43781</v>
      </c>
      <c r="N342" s="16">
        <v>0.43599537037037039</v>
      </c>
      <c r="O342">
        <v>8</v>
      </c>
      <c r="P342">
        <v>93</v>
      </c>
      <c r="Q342" t="s">
        <v>319</v>
      </c>
      <c r="R342">
        <v>231</v>
      </c>
      <c r="S342">
        <f>_xlfn.XLOOKUP(Table2[[#This Row],[Obs_date]],'19-20_niwa_temp_data'!B:B,'19-20_niwa_temp_data'!G:G, "N/A")</f>
        <v>14.342245291445828</v>
      </c>
      <c r="T342">
        <f>_xlfn.XLOOKUP(Table2[[#This Row],[First_egg_lay_date]],'19-20_niwa_temp_data'!B:B,'19-20_niwa_temp_data'!G:G, "No Match")</f>
        <v>14.032106042928838</v>
      </c>
    </row>
    <row r="343" spans="1:20" hidden="1" x14ac:dyDescent="0.35">
      <c r="A343" t="s">
        <v>9</v>
      </c>
      <c r="B343" t="s">
        <v>17</v>
      </c>
      <c r="C343" s="3" t="s">
        <v>106</v>
      </c>
      <c r="D343" t="str">
        <f>_xlfn.XLOOKUP(Table2[[#This Row],[Female_ID ]],'19-20_female_cohort'!I:I,'19-20_female_cohort'!H:H, "No Match")</f>
        <v>2015/2016</v>
      </c>
      <c r="E343">
        <v>4</v>
      </c>
      <c r="F343" s="11">
        <v>43770</v>
      </c>
      <c r="G343">
        <f>_xlfn.XLOOKUP(Table2[[#This Row],[First_egg_lay_date]],'19-20_niwa_temp_data'!B:B,'19-20_niwa_temp_data'!G:G, "No Match")</f>
        <v>14.032106042928838</v>
      </c>
      <c r="H343">
        <v>4</v>
      </c>
      <c r="I343" s="11">
        <v>43773</v>
      </c>
      <c r="J343">
        <f>_xlfn.XLOOKUP(Table2[[#This Row],[Nest_box_ID]],Sheet1!A:A,Sheet1!L:L, "No Match")</f>
        <v>0</v>
      </c>
      <c r="K343" s="11">
        <v>43787</v>
      </c>
      <c r="L343">
        <f>_xlfn.XLOOKUP(Table2[[#This Row],[Nest_box_ID]],Sheet1!A:A,Sheet1!K:K, "No Match")</f>
        <v>14</v>
      </c>
      <c r="M343" s="11">
        <v>43781</v>
      </c>
      <c r="N343" s="16">
        <v>0.43866898148148148</v>
      </c>
      <c r="O343">
        <v>8</v>
      </c>
      <c r="P343">
        <v>93</v>
      </c>
      <c r="Q343" t="s">
        <v>320</v>
      </c>
      <c r="R343">
        <v>756</v>
      </c>
      <c r="S343">
        <f>_xlfn.XLOOKUP(Table2[[#This Row],[Obs_date]],'19-20_niwa_temp_data'!B:B,'19-20_niwa_temp_data'!G:G, "N/A")</f>
        <v>14.342245291445828</v>
      </c>
      <c r="T343">
        <f>_xlfn.XLOOKUP(Table2[[#This Row],[First_egg_lay_date]],'19-20_niwa_temp_data'!B:B,'19-20_niwa_temp_data'!G:G, "No Match")</f>
        <v>14.032106042928838</v>
      </c>
    </row>
    <row r="344" spans="1:20" x14ac:dyDescent="0.35">
      <c r="A344" t="s">
        <v>9</v>
      </c>
      <c r="B344" t="s">
        <v>17</v>
      </c>
      <c r="C344" s="3" t="s">
        <v>106</v>
      </c>
      <c r="D344" t="str">
        <f>_xlfn.XLOOKUP(Table2[[#This Row],[Female_ID ]],'19-20_female_cohort'!I:I,'19-20_female_cohort'!H:H, "No Match")</f>
        <v>2015/2016</v>
      </c>
      <c r="E344">
        <v>4</v>
      </c>
      <c r="F344" s="11">
        <v>43770</v>
      </c>
      <c r="G344">
        <f>_xlfn.XLOOKUP(Table2[[#This Row],[First_egg_lay_date]],'19-20_niwa_temp_data'!B:B,'19-20_niwa_temp_data'!G:G, "No Match")</f>
        <v>14.032106042928838</v>
      </c>
      <c r="H344">
        <v>4</v>
      </c>
      <c r="I344" s="11">
        <v>43773</v>
      </c>
      <c r="J344">
        <f>_xlfn.XLOOKUP(Table2[[#This Row],[Nest_box_ID]],Sheet1!A:A,Sheet1!L:L, "No Match")</f>
        <v>0</v>
      </c>
      <c r="K344" s="11">
        <v>43787</v>
      </c>
      <c r="L344">
        <f>_xlfn.XLOOKUP(Table2[[#This Row],[Nest_box_ID]],Sheet1!A:A,Sheet1!K:K, "No Match")</f>
        <v>14</v>
      </c>
      <c r="M344" s="11">
        <v>43781</v>
      </c>
      <c r="N344" s="16">
        <v>0.44741898148148146</v>
      </c>
      <c r="O344">
        <v>8</v>
      </c>
      <c r="P344">
        <v>93</v>
      </c>
      <c r="Q344" t="s">
        <v>319</v>
      </c>
      <c r="R344">
        <v>422</v>
      </c>
      <c r="S344">
        <f>_xlfn.XLOOKUP(Table2[[#This Row],[Obs_date]],'19-20_niwa_temp_data'!B:B,'19-20_niwa_temp_data'!G:G, "N/A")</f>
        <v>14.342245291445828</v>
      </c>
      <c r="T344">
        <f>_xlfn.XLOOKUP(Table2[[#This Row],[First_egg_lay_date]],'19-20_niwa_temp_data'!B:B,'19-20_niwa_temp_data'!G:G, "No Match")</f>
        <v>14.032106042928838</v>
      </c>
    </row>
    <row r="345" spans="1:20" hidden="1" x14ac:dyDescent="0.35">
      <c r="A345" t="s">
        <v>9</v>
      </c>
      <c r="B345" t="s">
        <v>17</v>
      </c>
      <c r="C345" s="3" t="s">
        <v>106</v>
      </c>
      <c r="D345" t="str">
        <f>_xlfn.XLOOKUP(Table2[[#This Row],[Female_ID ]],'19-20_female_cohort'!I:I,'19-20_female_cohort'!H:H, "No Match")</f>
        <v>2015/2016</v>
      </c>
      <c r="E345">
        <v>4</v>
      </c>
      <c r="F345" s="11">
        <v>43770</v>
      </c>
      <c r="G345">
        <f>_xlfn.XLOOKUP(Table2[[#This Row],[First_egg_lay_date]],'19-20_niwa_temp_data'!B:B,'19-20_niwa_temp_data'!G:G, "No Match")</f>
        <v>14.032106042928838</v>
      </c>
      <c r="H345">
        <v>4</v>
      </c>
      <c r="I345" s="11">
        <v>43773</v>
      </c>
      <c r="J345">
        <f>_xlfn.XLOOKUP(Table2[[#This Row],[Nest_box_ID]],Sheet1!A:A,Sheet1!L:L, "No Match")</f>
        <v>0</v>
      </c>
      <c r="K345" s="11">
        <v>43787</v>
      </c>
      <c r="L345">
        <f>_xlfn.XLOOKUP(Table2[[#This Row],[Nest_box_ID]],Sheet1!A:A,Sheet1!K:K, "No Match")</f>
        <v>14</v>
      </c>
      <c r="M345" s="11">
        <v>43781</v>
      </c>
      <c r="N345" s="16">
        <v>0.45230324074074074</v>
      </c>
      <c r="O345">
        <v>8</v>
      </c>
      <c r="P345">
        <v>93</v>
      </c>
      <c r="Q345" t="s">
        <v>320</v>
      </c>
      <c r="R345">
        <v>3857</v>
      </c>
      <c r="S345">
        <f>_xlfn.XLOOKUP(Table2[[#This Row],[Obs_date]],'19-20_niwa_temp_data'!B:B,'19-20_niwa_temp_data'!G:G, "N/A")</f>
        <v>14.342245291445828</v>
      </c>
      <c r="T345">
        <f>_xlfn.XLOOKUP(Table2[[#This Row],[First_egg_lay_date]],'19-20_niwa_temp_data'!B:B,'19-20_niwa_temp_data'!G:G, "No Match")</f>
        <v>14.032106042928838</v>
      </c>
    </row>
    <row r="346" spans="1:20" x14ac:dyDescent="0.35">
      <c r="A346" t="s">
        <v>9</v>
      </c>
      <c r="B346" t="s">
        <v>17</v>
      </c>
      <c r="C346" s="3" t="s">
        <v>106</v>
      </c>
      <c r="D346" t="str">
        <f>_xlfn.XLOOKUP(Table2[[#This Row],[Female_ID ]],'19-20_female_cohort'!I:I,'19-20_female_cohort'!H:H, "No Match")</f>
        <v>2015/2016</v>
      </c>
      <c r="E346">
        <v>4</v>
      </c>
      <c r="F346" s="11">
        <v>43770</v>
      </c>
      <c r="G346">
        <f>_xlfn.XLOOKUP(Table2[[#This Row],[First_egg_lay_date]],'19-20_niwa_temp_data'!B:B,'19-20_niwa_temp_data'!G:G, "No Match")</f>
        <v>14.032106042928838</v>
      </c>
      <c r="H346">
        <v>4</v>
      </c>
      <c r="I346" s="11">
        <v>43773</v>
      </c>
      <c r="J346">
        <f>_xlfn.XLOOKUP(Table2[[#This Row],[Nest_box_ID]],Sheet1!A:A,Sheet1!L:L, "No Match")</f>
        <v>0</v>
      </c>
      <c r="K346" s="11">
        <v>43787</v>
      </c>
      <c r="L346">
        <f>_xlfn.XLOOKUP(Table2[[#This Row],[Nest_box_ID]],Sheet1!A:A,Sheet1!K:K, "No Match")</f>
        <v>14</v>
      </c>
      <c r="M346" s="11">
        <v>43787</v>
      </c>
      <c r="N346" s="16">
        <v>0.59944444444444445</v>
      </c>
      <c r="O346">
        <v>13</v>
      </c>
      <c r="P346">
        <v>57</v>
      </c>
      <c r="Q346" t="s">
        <v>319</v>
      </c>
      <c r="R346">
        <v>5868</v>
      </c>
      <c r="S346">
        <f>_xlfn.XLOOKUP(Table2[[#This Row],[Obs_date]],'19-20_niwa_temp_data'!B:B,'19-20_niwa_temp_data'!G:G, "N/A")</f>
        <v>16.814279645586961</v>
      </c>
      <c r="T346">
        <f>_xlfn.XLOOKUP(Table2[[#This Row],[First_egg_lay_date]],'19-20_niwa_temp_data'!B:B,'19-20_niwa_temp_data'!G:G, "No Match")</f>
        <v>14.032106042928838</v>
      </c>
    </row>
    <row r="347" spans="1:20" hidden="1" x14ac:dyDescent="0.35">
      <c r="A347" t="s">
        <v>9</v>
      </c>
      <c r="B347" t="s">
        <v>17</v>
      </c>
      <c r="C347" s="3" t="s">
        <v>106</v>
      </c>
      <c r="D347" t="str">
        <f>_xlfn.XLOOKUP(Table2[[#This Row],[Female_ID ]],'19-20_female_cohort'!I:I,'19-20_female_cohort'!H:H, "No Match")</f>
        <v>2015/2016</v>
      </c>
      <c r="E347">
        <v>4</v>
      </c>
      <c r="F347" s="11">
        <v>43770</v>
      </c>
      <c r="G347">
        <f>_xlfn.XLOOKUP(Table2[[#This Row],[First_egg_lay_date]],'19-20_niwa_temp_data'!B:B,'19-20_niwa_temp_data'!G:G, "No Match")</f>
        <v>14.032106042928838</v>
      </c>
      <c r="H347">
        <v>4</v>
      </c>
      <c r="I347" s="11">
        <v>43773</v>
      </c>
      <c r="J347">
        <f>_xlfn.XLOOKUP(Table2[[#This Row],[Nest_box_ID]],Sheet1!A:A,Sheet1!L:L, "No Match")</f>
        <v>0</v>
      </c>
      <c r="K347" s="11">
        <v>43787</v>
      </c>
      <c r="L347">
        <f>_xlfn.XLOOKUP(Table2[[#This Row],[Nest_box_ID]],Sheet1!A:A,Sheet1!K:K, "No Match")</f>
        <v>14</v>
      </c>
      <c r="M347" s="11">
        <v>43787</v>
      </c>
      <c r="N347" s="16">
        <v>0.66736111111111107</v>
      </c>
      <c r="O347">
        <v>13</v>
      </c>
      <c r="P347">
        <v>57</v>
      </c>
      <c r="Q347" t="s">
        <v>319</v>
      </c>
      <c r="R347" t="s">
        <v>254</v>
      </c>
      <c r="S347">
        <f>_xlfn.XLOOKUP(Table2[[#This Row],[Obs_date]],'19-20_niwa_temp_data'!B:B,'19-20_niwa_temp_data'!G:G, "N/A")</f>
        <v>16.814279645586961</v>
      </c>
      <c r="T347">
        <f>_xlfn.XLOOKUP(Table2[[#This Row],[First_egg_lay_date]],'19-20_niwa_temp_data'!B:B,'19-20_niwa_temp_data'!G:G, "No Match")</f>
        <v>14.032106042928838</v>
      </c>
    </row>
    <row r="348" spans="1:20" x14ac:dyDescent="0.35">
      <c r="A348" t="s">
        <v>9</v>
      </c>
      <c r="B348" t="s">
        <v>45</v>
      </c>
      <c r="C348" s="3" t="s">
        <v>134</v>
      </c>
      <c r="D348" t="str">
        <f>_xlfn.XLOOKUP(Table2[[#This Row],[Female_ID ]],'19-20_female_cohort'!I:I,'19-20_female_cohort'!H:H, "No Match")</f>
        <v>2018/2019</v>
      </c>
      <c r="E348">
        <v>1</v>
      </c>
      <c r="F348" s="11">
        <v>43780</v>
      </c>
      <c r="G348">
        <f>_xlfn.XLOOKUP(Table2[[#This Row],[First_egg_lay_date]],'19-20_niwa_temp_data'!B:B,'19-20_niwa_temp_data'!G:G, "No Match")</f>
        <v>15.469970911414153</v>
      </c>
      <c r="H348">
        <v>4</v>
      </c>
      <c r="I348" s="11">
        <v>43784</v>
      </c>
      <c r="J348">
        <f>_xlfn.XLOOKUP(Table2[[#This Row],[Nest_box_ID]],Sheet1!A:A,Sheet1!L:L, "No Match")</f>
        <v>1</v>
      </c>
      <c r="K348" s="11">
        <v>43798</v>
      </c>
      <c r="L348">
        <f>_xlfn.XLOOKUP(Table2[[#This Row],[Nest_box_ID]],Sheet1!A:A,Sheet1!K:K, "No Match")</f>
        <v>14</v>
      </c>
      <c r="M348" s="11">
        <v>43791</v>
      </c>
      <c r="N348" s="16">
        <v>0.40824074074074074</v>
      </c>
      <c r="O348">
        <v>7</v>
      </c>
      <c r="P348">
        <v>65</v>
      </c>
      <c r="Q348" t="s">
        <v>319</v>
      </c>
      <c r="R348">
        <v>577</v>
      </c>
      <c r="S348">
        <f>_xlfn.XLOOKUP(Table2[[#This Row],[Obs_date]],'19-20_niwa_temp_data'!B:B,'19-20_niwa_temp_data'!G:G, "N/A")</f>
        <v>14.404166064024672</v>
      </c>
      <c r="T348">
        <f>_xlfn.XLOOKUP(Table2[[#This Row],[First_egg_lay_date]],'19-20_niwa_temp_data'!B:B,'19-20_niwa_temp_data'!G:G, "No Match")</f>
        <v>15.469970911414153</v>
      </c>
    </row>
    <row r="349" spans="1:20" hidden="1" x14ac:dyDescent="0.35">
      <c r="A349" t="s">
        <v>9</v>
      </c>
      <c r="B349" t="s">
        <v>45</v>
      </c>
      <c r="C349" s="3" t="s">
        <v>134</v>
      </c>
      <c r="D349" t="str">
        <f>_xlfn.XLOOKUP(Table2[[#This Row],[Female_ID ]],'19-20_female_cohort'!I:I,'19-20_female_cohort'!H:H, "No Match")</f>
        <v>2018/2019</v>
      </c>
      <c r="E349">
        <v>1</v>
      </c>
      <c r="F349" s="11">
        <v>43780</v>
      </c>
      <c r="G349">
        <f>_xlfn.XLOOKUP(Table2[[#This Row],[First_egg_lay_date]],'19-20_niwa_temp_data'!B:B,'19-20_niwa_temp_data'!G:G, "No Match")</f>
        <v>15.469970911414153</v>
      </c>
      <c r="H349">
        <v>4</v>
      </c>
      <c r="I349" s="11">
        <v>43784</v>
      </c>
      <c r="J349">
        <f>_xlfn.XLOOKUP(Table2[[#This Row],[Nest_box_ID]],Sheet1!A:A,Sheet1!L:L, "No Match")</f>
        <v>1</v>
      </c>
      <c r="K349" s="11">
        <v>43798</v>
      </c>
      <c r="L349">
        <f>_xlfn.XLOOKUP(Table2[[#This Row],[Nest_box_ID]],Sheet1!A:A,Sheet1!K:K, "No Match")</f>
        <v>14</v>
      </c>
      <c r="M349" s="11">
        <v>43791</v>
      </c>
      <c r="N349" s="16">
        <v>0.41491898148148149</v>
      </c>
      <c r="O349">
        <v>7</v>
      </c>
      <c r="P349">
        <v>65</v>
      </c>
      <c r="Q349" t="s">
        <v>320</v>
      </c>
      <c r="R349">
        <v>883</v>
      </c>
      <c r="S349">
        <f>_xlfn.XLOOKUP(Table2[[#This Row],[Obs_date]],'19-20_niwa_temp_data'!B:B,'19-20_niwa_temp_data'!G:G, "N/A")</f>
        <v>14.404166064024672</v>
      </c>
      <c r="T349">
        <f>_xlfn.XLOOKUP(Table2[[#This Row],[First_egg_lay_date]],'19-20_niwa_temp_data'!B:B,'19-20_niwa_temp_data'!G:G, "No Match")</f>
        <v>15.469970911414153</v>
      </c>
    </row>
    <row r="350" spans="1:20" x14ac:dyDescent="0.35">
      <c r="A350" t="s">
        <v>9</v>
      </c>
      <c r="B350" t="s">
        <v>45</v>
      </c>
      <c r="C350" s="3" t="s">
        <v>134</v>
      </c>
      <c r="D350" t="str">
        <f>_xlfn.XLOOKUP(Table2[[#This Row],[Female_ID ]],'19-20_female_cohort'!I:I,'19-20_female_cohort'!H:H, "No Match")</f>
        <v>2018/2019</v>
      </c>
      <c r="E350">
        <v>1</v>
      </c>
      <c r="F350" s="11">
        <v>43780</v>
      </c>
      <c r="G350">
        <f>_xlfn.XLOOKUP(Table2[[#This Row],[First_egg_lay_date]],'19-20_niwa_temp_data'!B:B,'19-20_niwa_temp_data'!G:G, "No Match")</f>
        <v>15.469970911414153</v>
      </c>
      <c r="H350">
        <v>4</v>
      </c>
      <c r="I350" s="11">
        <v>43784</v>
      </c>
      <c r="J350">
        <f>_xlfn.XLOOKUP(Table2[[#This Row],[Nest_box_ID]],Sheet1!A:A,Sheet1!L:L, "No Match")</f>
        <v>1</v>
      </c>
      <c r="K350" s="11">
        <v>43798</v>
      </c>
      <c r="L350">
        <f>_xlfn.XLOOKUP(Table2[[#This Row],[Nest_box_ID]],Sheet1!A:A,Sheet1!K:K, "No Match")</f>
        <v>14</v>
      </c>
      <c r="M350" s="11">
        <v>43791</v>
      </c>
      <c r="N350" s="16">
        <v>0.4251388888888889</v>
      </c>
      <c r="O350">
        <v>7</v>
      </c>
      <c r="P350">
        <v>65</v>
      </c>
      <c r="Q350" t="s">
        <v>319</v>
      </c>
      <c r="R350">
        <v>398</v>
      </c>
      <c r="S350">
        <f>_xlfn.XLOOKUP(Table2[[#This Row],[Obs_date]],'19-20_niwa_temp_data'!B:B,'19-20_niwa_temp_data'!G:G, "N/A")</f>
        <v>14.404166064024672</v>
      </c>
      <c r="T350">
        <f>_xlfn.XLOOKUP(Table2[[#This Row],[First_egg_lay_date]],'19-20_niwa_temp_data'!B:B,'19-20_niwa_temp_data'!G:G, "No Match")</f>
        <v>15.469970911414153</v>
      </c>
    </row>
    <row r="351" spans="1:20" hidden="1" x14ac:dyDescent="0.35">
      <c r="A351" t="s">
        <v>9</v>
      </c>
      <c r="B351" t="s">
        <v>45</v>
      </c>
      <c r="C351" s="3" t="s">
        <v>134</v>
      </c>
      <c r="D351" t="str">
        <f>_xlfn.XLOOKUP(Table2[[#This Row],[Female_ID ]],'19-20_female_cohort'!I:I,'19-20_female_cohort'!H:H, "No Match")</f>
        <v>2018/2019</v>
      </c>
      <c r="E351">
        <v>1</v>
      </c>
      <c r="F351" s="11">
        <v>43780</v>
      </c>
      <c r="G351">
        <f>_xlfn.XLOOKUP(Table2[[#This Row],[First_egg_lay_date]],'19-20_niwa_temp_data'!B:B,'19-20_niwa_temp_data'!G:G, "No Match")</f>
        <v>15.469970911414153</v>
      </c>
      <c r="H351">
        <v>4</v>
      </c>
      <c r="I351" s="11">
        <v>43784</v>
      </c>
      <c r="J351">
        <f>_xlfn.XLOOKUP(Table2[[#This Row],[Nest_box_ID]],Sheet1!A:A,Sheet1!L:L, "No Match")</f>
        <v>1</v>
      </c>
      <c r="K351" s="11">
        <v>43798</v>
      </c>
      <c r="L351">
        <f>_xlfn.XLOOKUP(Table2[[#This Row],[Nest_box_ID]],Sheet1!A:A,Sheet1!K:K, "No Match")</f>
        <v>14</v>
      </c>
      <c r="M351" s="11">
        <v>43791</v>
      </c>
      <c r="N351" s="16">
        <v>0.42974537037037036</v>
      </c>
      <c r="O351">
        <v>7</v>
      </c>
      <c r="P351">
        <v>65</v>
      </c>
      <c r="Q351" t="s">
        <v>320</v>
      </c>
      <c r="R351">
        <v>327</v>
      </c>
      <c r="S351">
        <f>_xlfn.XLOOKUP(Table2[[#This Row],[Obs_date]],'19-20_niwa_temp_data'!B:B,'19-20_niwa_temp_data'!G:G, "N/A")</f>
        <v>14.404166064024672</v>
      </c>
      <c r="T351">
        <f>_xlfn.XLOOKUP(Table2[[#This Row],[First_egg_lay_date]],'19-20_niwa_temp_data'!B:B,'19-20_niwa_temp_data'!G:G, "No Match")</f>
        <v>15.469970911414153</v>
      </c>
    </row>
    <row r="352" spans="1:20" x14ac:dyDescent="0.35">
      <c r="A352" t="s">
        <v>9</v>
      </c>
      <c r="B352" t="s">
        <v>45</v>
      </c>
      <c r="C352" s="3" t="s">
        <v>134</v>
      </c>
      <c r="D352" t="str">
        <f>_xlfn.XLOOKUP(Table2[[#This Row],[Female_ID ]],'19-20_female_cohort'!I:I,'19-20_female_cohort'!H:H, "No Match")</f>
        <v>2018/2019</v>
      </c>
      <c r="E352">
        <v>1</v>
      </c>
      <c r="F352" s="11">
        <v>43780</v>
      </c>
      <c r="G352">
        <f>_xlfn.XLOOKUP(Table2[[#This Row],[First_egg_lay_date]],'19-20_niwa_temp_data'!B:B,'19-20_niwa_temp_data'!G:G, "No Match")</f>
        <v>15.469970911414153</v>
      </c>
      <c r="H352">
        <v>4</v>
      </c>
      <c r="I352" s="11">
        <v>43784</v>
      </c>
      <c r="J352">
        <f>_xlfn.XLOOKUP(Table2[[#This Row],[Nest_box_ID]],Sheet1!A:A,Sheet1!L:L, "No Match")</f>
        <v>1</v>
      </c>
      <c r="K352" s="11">
        <v>43798</v>
      </c>
      <c r="L352">
        <f>_xlfn.XLOOKUP(Table2[[#This Row],[Nest_box_ID]],Sheet1!A:A,Sheet1!K:K, "No Match")</f>
        <v>14</v>
      </c>
      <c r="M352" s="11">
        <v>43791</v>
      </c>
      <c r="N352" s="16">
        <v>0.43353009259259262</v>
      </c>
      <c r="O352">
        <v>7</v>
      </c>
      <c r="P352">
        <v>65</v>
      </c>
      <c r="Q352" t="s">
        <v>319</v>
      </c>
      <c r="R352">
        <v>382</v>
      </c>
      <c r="S352">
        <f>_xlfn.XLOOKUP(Table2[[#This Row],[Obs_date]],'19-20_niwa_temp_data'!B:B,'19-20_niwa_temp_data'!G:G, "N/A")</f>
        <v>14.404166064024672</v>
      </c>
      <c r="T352">
        <f>_xlfn.XLOOKUP(Table2[[#This Row],[First_egg_lay_date]],'19-20_niwa_temp_data'!B:B,'19-20_niwa_temp_data'!G:G, "No Match")</f>
        <v>15.469970911414153</v>
      </c>
    </row>
    <row r="353" spans="1:20" hidden="1" x14ac:dyDescent="0.35">
      <c r="A353" t="s">
        <v>9</v>
      </c>
      <c r="B353" t="s">
        <v>45</v>
      </c>
      <c r="C353" s="3" t="s">
        <v>134</v>
      </c>
      <c r="D353" t="str">
        <f>_xlfn.XLOOKUP(Table2[[#This Row],[Female_ID ]],'19-20_female_cohort'!I:I,'19-20_female_cohort'!H:H, "No Match")</f>
        <v>2018/2019</v>
      </c>
      <c r="E353">
        <v>1</v>
      </c>
      <c r="F353" s="11">
        <v>43780</v>
      </c>
      <c r="G353">
        <f>_xlfn.XLOOKUP(Table2[[#This Row],[First_egg_lay_date]],'19-20_niwa_temp_data'!B:B,'19-20_niwa_temp_data'!G:G, "No Match")</f>
        <v>15.469970911414153</v>
      </c>
      <c r="H353">
        <v>4</v>
      </c>
      <c r="I353" s="11">
        <v>43784</v>
      </c>
      <c r="J353">
        <f>_xlfn.XLOOKUP(Table2[[#This Row],[Nest_box_ID]],Sheet1!A:A,Sheet1!L:L, "No Match")</f>
        <v>1</v>
      </c>
      <c r="K353" s="11">
        <v>43798</v>
      </c>
      <c r="L353">
        <f>_xlfn.XLOOKUP(Table2[[#This Row],[Nest_box_ID]],Sheet1!A:A,Sheet1!K:K, "No Match")</f>
        <v>14</v>
      </c>
      <c r="M353" s="11">
        <v>43791</v>
      </c>
      <c r="N353" s="16">
        <v>0.4379513888888889</v>
      </c>
      <c r="O353">
        <v>7</v>
      </c>
      <c r="P353">
        <v>65</v>
      </c>
      <c r="Q353" t="s">
        <v>320</v>
      </c>
      <c r="R353" t="s">
        <v>254</v>
      </c>
      <c r="S353">
        <f>_xlfn.XLOOKUP(Table2[[#This Row],[Obs_date]],'19-20_niwa_temp_data'!B:B,'19-20_niwa_temp_data'!G:G, "N/A")</f>
        <v>14.404166064024672</v>
      </c>
      <c r="T353">
        <f>_xlfn.XLOOKUP(Table2[[#This Row],[First_egg_lay_date]],'19-20_niwa_temp_data'!B:B,'19-20_niwa_temp_data'!G:G, "No Match")</f>
        <v>15.469970911414153</v>
      </c>
    </row>
    <row r="354" spans="1:20" x14ac:dyDescent="0.35">
      <c r="A354" t="s">
        <v>9</v>
      </c>
      <c r="B354" t="s">
        <v>45</v>
      </c>
      <c r="C354" s="3" t="s">
        <v>134</v>
      </c>
      <c r="D354" t="str">
        <f>_xlfn.XLOOKUP(Table2[[#This Row],[Female_ID ]],'19-20_female_cohort'!I:I,'19-20_female_cohort'!H:H, "No Match")</f>
        <v>2018/2019</v>
      </c>
      <c r="E354">
        <v>1</v>
      </c>
      <c r="F354" s="11">
        <v>43780</v>
      </c>
      <c r="G354">
        <f>_xlfn.XLOOKUP(Table2[[#This Row],[First_egg_lay_date]],'19-20_niwa_temp_data'!B:B,'19-20_niwa_temp_data'!G:G, "No Match")</f>
        <v>15.469970911414153</v>
      </c>
      <c r="H354">
        <v>4</v>
      </c>
      <c r="I354" s="11">
        <v>43784</v>
      </c>
      <c r="J354">
        <f>_xlfn.XLOOKUP(Table2[[#This Row],[Nest_box_ID]],Sheet1!A:A,Sheet1!L:L, "No Match")</f>
        <v>1</v>
      </c>
      <c r="K354" s="11">
        <v>43798</v>
      </c>
      <c r="L354">
        <f>_xlfn.XLOOKUP(Table2[[#This Row],[Nest_box_ID]],Sheet1!A:A,Sheet1!K:K, "No Match")</f>
        <v>14</v>
      </c>
      <c r="M354" s="11">
        <v>43797</v>
      </c>
      <c r="N354" s="16">
        <v>0.39725694444444443</v>
      </c>
      <c r="O354">
        <v>13</v>
      </c>
      <c r="P354">
        <v>140</v>
      </c>
      <c r="Q354" t="s">
        <v>319</v>
      </c>
      <c r="R354">
        <v>191</v>
      </c>
      <c r="S354">
        <f>_xlfn.XLOOKUP(Table2[[#This Row],[Obs_date]],'19-20_niwa_temp_data'!B:B,'19-20_niwa_temp_data'!G:G, "N/A")</f>
        <v>18.119602644649799</v>
      </c>
      <c r="T354">
        <f>_xlfn.XLOOKUP(Table2[[#This Row],[First_egg_lay_date]],'19-20_niwa_temp_data'!B:B,'19-20_niwa_temp_data'!G:G, "No Match")</f>
        <v>15.469970911414153</v>
      </c>
    </row>
    <row r="355" spans="1:20" hidden="1" x14ac:dyDescent="0.35">
      <c r="A355" t="s">
        <v>9</v>
      </c>
      <c r="B355" t="s">
        <v>45</v>
      </c>
      <c r="C355" s="3" t="s">
        <v>134</v>
      </c>
      <c r="D355" t="str">
        <f>_xlfn.XLOOKUP(Table2[[#This Row],[Female_ID ]],'19-20_female_cohort'!I:I,'19-20_female_cohort'!H:H, "No Match")</f>
        <v>2018/2019</v>
      </c>
      <c r="E355">
        <v>1</v>
      </c>
      <c r="F355" s="11">
        <v>43780</v>
      </c>
      <c r="G355">
        <f>_xlfn.XLOOKUP(Table2[[#This Row],[First_egg_lay_date]],'19-20_niwa_temp_data'!B:B,'19-20_niwa_temp_data'!G:G, "No Match")</f>
        <v>15.469970911414153</v>
      </c>
      <c r="H355">
        <v>4</v>
      </c>
      <c r="I355" s="11">
        <v>43784</v>
      </c>
      <c r="J355">
        <f>_xlfn.XLOOKUP(Table2[[#This Row],[Nest_box_ID]],Sheet1!A:A,Sheet1!L:L, "No Match")</f>
        <v>1</v>
      </c>
      <c r="K355" s="11">
        <v>43798</v>
      </c>
      <c r="L355">
        <f>_xlfn.XLOOKUP(Table2[[#This Row],[Nest_box_ID]],Sheet1!A:A,Sheet1!K:K, "No Match")</f>
        <v>14</v>
      </c>
      <c r="M355" s="11">
        <v>43797</v>
      </c>
      <c r="N355" s="16">
        <v>0.39946759259259257</v>
      </c>
      <c r="O355">
        <v>13</v>
      </c>
      <c r="P355">
        <v>140</v>
      </c>
      <c r="Q355" t="s">
        <v>320</v>
      </c>
      <c r="R355" t="s">
        <v>254</v>
      </c>
      <c r="S355">
        <f>_xlfn.XLOOKUP(Table2[[#This Row],[Obs_date]],'19-20_niwa_temp_data'!B:B,'19-20_niwa_temp_data'!G:G, "N/A")</f>
        <v>18.119602644649799</v>
      </c>
      <c r="T355">
        <f>_xlfn.XLOOKUP(Table2[[#This Row],[First_egg_lay_date]],'19-20_niwa_temp_data'!B:B,'19-20_niwa_temp_data'!G:G, "No Match")</f>
        <v>15.469970911414153</v>
      </c>
    </row>
    <row r="356" spans="1:20" x14ac:dyDescent="0.35">
      <c r="A356" t="s">
        <v>9</v>
      </c>
      <c r="B356" t="s">
        <v>60</v>
      </c>
      <c r="C356" s="3" t="s">
        <v>149</v>
      </c>
      <c r="D356" t="str">
        <f>_xlfn.XLOOKUP(Table2[[#This Row],[Female_ID ]],'19-20_female_cohort'!I:I,'19-20_female_cohort'!H:H, "No Match")</f>
        <v>2018/2019</v>
      </c>
      <c r="E356">
        <v>1</v>
      </c>
      <c r="F356" s="11">
        <v>43793</v>
      </c>
      <c r="G356">
        <f>_xlfn.XLOOKUP(Table2[[#This Row],[First_egg_lay_date]],'19-20_niwa_temp_data'!B:B,'19-20_niwa_temp_data'!G:G, "No Match")</f>
        <v>16.778557744931476</v>
      </c>
      <c r="H356">
        <v>4</v>
      </c>
      <c r="I356" s="11">
        <v>43796</v>
      </c>
      <c r="J356">
        <f>_xlfn.XLOOKUP(Table2[[#This Row],[Nest_box_ID]],Sheet1!A:A,Sheet1!L:L, "No Match")</f>
        <v>0</v>
      </c>
      <c r="K356" s="11">
        <v>43810</v>
      </c>
      <c r="L356">
        <f>_xlfn.XLOOKUP(Table2[[#This Row],[Nest_box_ID]],Sheet1!A:A,Sheet1!K:K, "No Match")</f>
        <v>14</v>
      </c>
      <c r="M356" s="11">
        <v>43797</v>
      </c>
      <c r="N356" s="16">
        <v>0.49071759259259257</v>
      </c>
      <c r="O356">
        <v>1</v>
      </c>
      <c r="P356">
        <v>60</v>
      </c>
      <c r="Q356" t="s">
        <v>319</v>
      </c>
      <c r="R356">
        <v>383</v>
      </c>
      <c r="S356">
        <f>_xlfn.XLOOKUP(Table2[[#This Row],[Obs_date]],'19-20_niwa_temp_data'!B:B,'19-20_niwa_temp_data'!G:G, "N/A")</f>
        <v>18.119602644649799</v>
      </c>
      <c r="T356">
        <f>_xlfn.XLOOKUP(Table2[[#This Row],[First_egg_lay_date]],'19-20_niwa_temp_data'!B:B,'19-20_niwa_temp_data'!G:G, "No Match")</f>
        <v>16.778557744931476</v>
      </c>
    </row>
    <row r="357" spans="1:20" hidden="1" x14ac:dyDescent="0.35">
      <c r="A357" t="s">
        <v>9</v>
      </c>
      <c r="B357" t="s">
        <v>60</v>
      </c>
      <c r="C357" s="3" t="s">
        <v>149</v>
      </c>
      <c r="D357" t="str">
        <f>_xlfn.XLOOKUP(Table2[[#This Row],[Female_ID ]],'19-20_female_cohort'!I:I,'19-20_female_cohort'!H:H, "No Match")</f>
        <v>2018/2019</v>
      </c>
      <c r="E357">
        <v>1</v>
      </c>
      <c r="F357" s="11">
        <v>43793</v>
      </c>
      <c r="G357">
        <f>_xlfn.XLOOKUP(Table2[[#This Row],[First_egg_lay_date]],'19-20_niwa_temp_data'!B:B,'19-20_niwa_temp_data'!G:G, "No Match")</f>
        <v>16.778557744931476</v>
      </c>
      <c r="H357">
        <v>4</v>
      </c>
      <c r="I357" s="11">
        <v>43796</v>
      </c>
      <c r="J357">
        <f>_xlfn.XLOOKUP(Table2[[#This Row],[Nest_box_ID]],Sheet1!A:A,Sheet1!L:L, "No Match")</f>
        <v>0</v>
      </c>
      <c r="K357" s="11">
        <v>43810</v>
      </c>
      <c r="L357">
        <f>_xlfn.XLOOKUP(Table2[[#This Row],[Nest_box_ID]],Sheet1!A:A,Sheet1!K:K, "No Match")</f>
        <v>14</v>
      </c>
      <c r="M357" s="11">
        <v>43797</v>
      </c>
      <c r="N357" s="16">
        <v>0.49515046296296295</v>
      </c>
      <c r="O357">
        <v>1</v>
      </c>
      <c r="P357">
        <v>60</v>
      </c>
      <c r="Q357" t="s">
        <v>320</v>
      </c>
      <c r="R357">
        <v>1481</v>
      </c>
      <c r="S357">
        <f>_xlfn.XLOOKUP(Table2[[#This Row],[Obs_date]],'19-20_niwa_temp_data'!B:B,'19-20_niwa_temp_data'!G:G, "N/A")</f>
        <v>18.119602644649799</v>
      </c>
      <c r="T357">
        <f>_xlfn.XLOOKUP(Table2[[#This Row],[First_egg_lay_date]],'19-20_niwa_temp_data'!B:B,'19-20_niwa_temp_data'!G:G, "No Match")</f>
        <v>16.778557744931476</v>
      </c>
    </row>
    <row r="358" spans="1:20" x14ac:dyDescent="0.35">
      <c r="A358" t="s">
        <v>9</v>
      </c>
      <c r="B358" t="s">
        <v>60</v>
      </c>
      <c r="C358" s="3" t="s">
        <v>149</v>
      </c>
      <c r="D358" t="str">
        <f>_xlfn.XLOOKUP(Table2[[#This Row],[Female_ID ]],'19-20_female_cohort'!I:I,'19-20_female_cohort'!H:H, "No Match")</f>
        <v>2018/2019</v>
      </c>
      <c r="E358">
        <v>1</v>
      </c>
      <c r="F358" s="11">
        <v>43793</v>
      </c>
      <c r="G358">
        <f>_xlfn.XLOOKUP(Table2[[#This Row],[First_egg_lay_date]],'19-20_niwa_temp_data'!B:B,'19-20_niwa_temp_data'!G:G, "No Match")</f>
        <v>16.778557744931476</v>
      </c>
      <c r="H358">
        <v>4</v>
      </c>
      <c r="I358" s="11">
        <v>43796</v>
      </c>
      <c r="J358">
        <f>_xlfn.XLOOKUP(Table2[[#This Row],[Nest_box_ID]],Sheet1!A:A,Sheet1!L:L, "No Match")</f>
        <v>0</v>
      </c>
      <c r="K358" s="11">
        <v>43810</v>
      </c>
      <c r="L358">
        <f>_xlfn.XLOOKUP(Table2[[#This Row],[Nest_box_ID]],Sheet1!A:A,Sheet1!K:K, "No Match")</f>
        <v>14</v>
      </c>
      <c r="M358" s="11">
        <v>43797</v>
      </c>
      <c r="N358" s="16">
        <v>0.5122916666666667</v>
      </c>
      <c r="O358">
        <v>1</v>
      </c>
      <c r="P358">
        <v>60</v>
      </c>
      <c r="Q358" t="s">
        <v>319</v>
      </c>
      <c r="R358">
        <v>289</v>
      </c>
      <c r="S358">
        <f>_xlfn.XLOOKUP(Table2[[#This Row],[Obs_date]],'19-20_niwa_temp_data'!B:B,'19-20_niwa_temp_data'!G:G, "N/A")</f>
        <v>18.119602644649799</v>
      </c>
      <c r="T358">
        <f>_xlfn.XLOOKUP(Table2[[#This Row],[First_egg_lay_date]],'19-20_niwa_temp_data'!B:B,'19-20_niwa_temp_data'!G:G, "No Match")</f>
        <v>16.778557744931476</v>
      </c>
    </row>
    <row r="359" spans="1:20" hidden="1" x14ac:dyDescent="0.35">
      <c r="A359" t="s">
        <v>9</v>
      </c>
      <c r="B359" t="s">
        <v>60</v>
      </c>
      <c r="C359" s="3" t="s">
        <v>149</v>
      </c>
      <c r="D359" t="str">
        <f>_xlfn.XLOOKUP(Table2[[#This Row],[Female_ID ]],'19-20_female_cohort'!I:I,'19-20_female_cohort'!H:H, "No Match")</f>
        <v>2018/2019</v>
      </c>
      <c r="E359">
        <v>1</v>
      </c>
      <c r="F359" s="11">
        <v>43793</v>
      </c>
      <c r="G359">
        <f>_xlfn.XLOOKUP(Table2[[#This Row],[First_egg_lay_date]],'19-20_niwa_temp_data'!B:B,'19-20_niwa_temp_data'!G:G, "No Match")</f>
        <v>16.778557744931476</v>
      </c>
      <c r="H359">
        <v>4</v>
      </c>
      <c r="I359" s="11">
        <v>43796</v>
      </c>
      <c r="J359">
        <f>_xlfn.XLOOKUP(Table2[[#This Row],[Nest_box_ID]],Sheet1!A:A,Sheet1!L:L, "No Match")</f>
        <v>0</v>
      </c>
      <c r="K359" s="11">
        <v>43810</v>
      </c>
      <c r="L359">
        <f>_xlfn.XLOOKUP(Table2[[#This Row],[Nest_box_ID]],Sheet1!A:A,Sheet1!K:K, "No Match")</f>
        <v>14</v>
      </c>
      <c r="M359" s="11">
        <v>43797</v>
      </c>
      <c r="N359" s="16">
        <v>0.51563657407407404</v>
      </c>
      <c r="O359">
        <v>1</v>
      </c>
      <c r="P359">
        <v>60</v>
      </c>
      <c r="Q359" t="s">
        <v>320</v>
      </c>
      <c r="R359">
        <v>270</v>
      </c>
      <c r="S359">
        <f>_xlfn.XLOOKUP(Table2[[#This Row],[Obs_date]],'19-20_niwa_temp_data'!B:B,'19-20_niwa_temp_data'!G:G, "N/A")</f>
        <v>18.119602644649799</v>
      </c>
      <c r="T359">
        <f>_xlfn.XLOOKUP(Table2[[#This Row],[First_egg_lay_date]],'19-20_niwa_temp_data'!B:B,'19-20_niwa_temp_data'!G:G, "No Match")</f>
        <v>16.778557744931476</v>
      </c>
    </row>
    <row r="360" spans="1:20" x14ac:dyDescent="0.35">
      <c r="A360" t="s">
        <v>9</v>
      </c>
      <c r="B360" t="s">
        <v>60</v>
      </c>
      <c r="C360" s="3" t="s">
        <v>149</v>
      </c>
      <c r="D360" t="str">
        <f>_xlfn.XLOOKUP(Table2[[#This Row],[Female_ID ]],'19-20_female_cohort'!I:I,'19-20_female_cohort'!H:H, "No Match")</f>
        <v>2018/2019</v>
      </c>
      <c r="E360">
        <v>1</v>
      </c>
      <c r="F360" s="11">
        <v>43793</v>
      </c>
      <c r="G360">
        <f>_xlfn.XLOOKUP(Table2[[#This Row],[First_egg_lay_date]],'19-20_niwa_temp_data'!B:B,'19-20_niwa_temp_data'!G:G, "No Match")</f>
        <v>16.778557744931476</v>
      </c>
      <c r="H360">
        <v>4</v>
      </c>
      <c r="I360" s="11">
        <v>43796</v>
      </c>
      <c r="J360">
        <f>_xlfn.XLOOKUP(Table2[[#This Row],[Nest_box_ID]],Sheet1!A:A,Sheet1!L:L, "No Match")</f>
        <v>0</v>
      </c>
      <c r="K360" s="11">
        <v>43810</v>
      </c>
      <c r="L360">
        <f>_xlfn.XLOOKUP(Table2[[#This Row],[Nest_box_ID]],Sheet1!A:A,Sheet1!K:K, "No Match")</f>
        <v>14</v>
      </c>
      <c r="M360" s="11">
        <v>43797</v>
      </c>
      <c r="N360" s="16">
        <v>0.51876157407407408</v>
      </c>
      <c r="O360">
        <v>1</v>
      </c>
      <c r="P360">
        <v>60</v>
      </c>
      <c r="Q360" t="s">
        <v>319</v>
      </c>
      <c r="R360">
        <v>224</v>
      </c>
      <c r="S360">
        <f>_xlfn.XLOOKUP(Table2[[#This Row],[Obs_date]],'19-20_niwa_temp_data'!B:B,'19-20_niwa_temp_data'!G:G, "N/A")</f>
        <v>18.119602644649799</v>
      </c>
      <c r="T360">
        <f>_xlfn.XLOOKUP(Table2[[#This Row],[First_egg_lay_date]],'19-20_niwa_temp_data'!B:B,'19-20_niwa_temp_data'!G:G, "No Match")</f>
        <v>16.778557744931476</v>
      </c>
    </row>
    <row r="361" spans="1:20" hidden="1" x14ac:dyDescent="0.35">
      <c r="A361" t="s">
        <v>9</v>
      </c>
      <c r="B361" t="s">
        <v>60</v>
      </c>
      <c r="C361" s="3" t="s">
        <v>149</v>
      </c>
      <c r="D361" t="str">
        <f>_xlfn.XLOOKUP(Table2[[#This Row],[Female_ID ]],'19-20_female_cohort'!I:I,'19-20_female_cohort'!H:H, "No Match")</f>
        <v>2018/2019</v>
      </c>
      <c r="E361">
        <v>1</v>
      </c>
      <c r="F361" s="11">
        <v>43793</v>
      </c>
      <c r="G361">
        <f>_xlfn.XLOOKUP(Table2[[#This Row],[First_egg_lay_date]],'19-20_niwa_temp_data'!B:B,'19-20_niwa_temp_data'!G:G, "No Match")</f>
        <v>16.778557744931476</v>
      </c>
      <c r="H361">
        <v>4</v>
      </c>
      <c r="I361" s="11">
        <v>43796</v>
      </c>
      <c r="J361">
        <f>_xlfn.XLOOKUP(Table2[[#This Row],[Nest_box_ID]],Sheet1!A:A,Sheet1!L:L, "No Match")</f>
        <v>0</v>
      </c>
      <c r="K361" s="11">
        <v>43810</v>
      </c>
      <c r="L361">
        <f>_xlfn.XLOOKUP(Table2[[#This Row],[Nest_box_ID]],Sheet1!A:A,Sheet1!K:K, "No Match")</f>
        <v>14</v>
      </c>
      <c r="M361" s="11">
        <v>43797</v>
      </c>
      <c r="N361" s="16">
        <v>0.52135416666666667</v>
      </c>
      <c r="O361">
        <v>1</v>
      </c>
      <c r="P361">
        <v>60</v>
      </c>
      <c r="Q361" t="s">
        <v>320</v>
      </c>
      <c r="R361">
        <v>228</v>
      </c>
      <c r="S361">
        <f>_xlfn.XLOOKUP(Table2[[#This Row],[Obs_date]],'19-20_niwa_temp_data'!B:B,'19-20_niwa_temp_data'!G:G, "N/A")</f>
        <v>18.119602644649799</v>
      </c>
      <c r="T361">
        <f>_xlfn.XLOOKUP(Table2[[#This Row],[First_egg_lay_date]],'19-20_niwa_temp_data'!B:B,'19-20_niwa_temp_data'!G:G, "No Match")</f>
        <v>16.778557744931476</v>
      </c>
    </row>
    <row r="362" spans="1:20" hidden="1" x14ac:dyDescent="0.35">
      <c r="A362" t="s">
        <v>9</v>
      </c>
      <c r="B362" t="s">
        <v>60</v>
      </c>
      <c r="C362" s="3" t="s">
        <v>149</v>
      </c>
      <c r="D362" t="str">
        <f>_xlfn.XLOOKUP(Table2[[#This Row],[Female_ID ]],'19-20_female_cohort'!I:I,'19-20_female_cohort'!H:H, "No Match")</f>
        <v>2018/2019</v>
      </c>
      <c r="E362">
        <v>1</v>
      </c>
      <c r="F362" s="11">
        <v>43793</v>
      </c>
      <c r="G362">
        <f>_xlfn.XLOOKUP(Table2[[#This Row],[First_egg_lay_date]],'19-20_niwa_temp_data'!B:B,'19-20_niwa_temp_data'!G:G, "No Match")</f>
        <v>16.778557744931476</v>
      </c>
      <c r="H362">
        <v>4</v>
      </c>
      <c r="I362" s="11">
        <v>43796</v>
      </c>
      <c r="J362">
        <f>_xlfn.XLOOKUP(Table2[[#This Row],[Nest_box_ID]],Sheet1!A:A,Sheet1!L:L, "No Match")</f>
        <v>0</v>
      </c>
      <c r="K362" s="11">
        <v>43810</v>
      </c>
      <c r="L362">
        <f>_xlfn.XLOOKUP(Table2[[#This Row],[Nest_box_ID]],Sheet1!A:A,Sheet1!K:K, "No Match")</f>
        <v>14</v>
      </c>
      <c r="M362" s="11">
        <v>43797</v>
      </c>
      <c r="N362" s="16">
        <v>0.52399305555555553</v>
      </c>
      <c r="O362">
        <v>1</v>
      </c>
      <c r="P362">
        <v>60</v>
      </c>
      <c r="Q362" t="s">
        <v>319</v>
      </c>
      <c r="R362" t="s">
        <v>254</v>
      </c>
      <c r="S362">
        <f>_xlfn.XLOOKUP(Table2[[#This Row],[Obs_date]],'19-20_niwa_temp_data'!B:B,'19-20_niwa_temp_data'!G:G, "N/A")</f>
        <v>18.119602644649799</v>
      </c>
      <c r="T362">
        <f>_xlfn.XLOOKUP(Table2[[#This Row],[First_egg_lay_date]],'19-20_niwa_temp_data'!B:B,'19-20_niwa_temp_data'!G:G, "No Match")</f>
        <v>16.778557744931476</v>
      </c>
    </row>
    <row r="363" spans="1:20" x14ac:dyDescent="0.35">
      <c r="A363" t="s">
        <v>9</v>
      </c>
      <c r="B363" t="s">
        <v>60</v>
      </c>
      <c r="C363" s="3" t="s">
        <v>149</v>
      </c>
      <c r="D363" t="str">
        <f>_xlfn.XLOOKUP(Table2[[#This Row],[Female_ID ]],'19-20_female_cohort'!I:I,'19-20_female_cohort'!H:H, "No Match")</f>
        <v>2018/2019</v>
      </c>
      <c r="E363">
        <v>1</v>
      </c>
      <c r="F363" s="11">
        <v>43793</v>
      </c>
      <c r="G363">
        <f>_xlfn.XLOOKUP(Table2[[#This Row],[First_egg_lay_date]],'19-20_niwa_temp_data'!B:B,'19-20_niwa_temp_data'!G:G, "No Match")</f>
        <v>16.778557744931476</v>
      </c>
      <c r="H363">
        <v>4</v>
      </c>
      <c r="I363" s="11">
        <v>43796</v>
      </c>
      <c r="J363">
        <f>_xlfn.XLOOKUP(Table2[[#This Row],[Nest_box_ID]],Sheet1!A:A,Sheet1!L:L, "No Match")</f>
        <v>0</v>
      </c>
      <c r="K363" s="11">
        <v>43810</v>
      </c>
      <c r="L363">
        <f>_xlfn.XLOOKUP(Table2[[#This Row],[Nest_box_ID]],Sheet1!A:A,Sheet1!K:K, "No Match")</f>
        <v>14</v>
      </c>
      <c r="M363" s="11">
        <v>43803</v>
      </c>
      <c r="N363" s="16">
        <v>0.46184027777777775</v>
      </c>
      <c r="O363">
        <v>7</v>
      </c>
      <c r="P363">
        <v>82</v>
      </c>
      <c r="Q363" t="s">
        <v>319</v>
      </c>
      <c r="R363">
        <v>388</v>
      </c>
      <c r="S363">
        <f>_xlfn.XLOOKUP(Table2[[#This Row],[Obs_date]],'19-20_niwa_temp_data'!B:B,'19-20_niwa_temp_data'!G:G, "N/A")</f>
        <v>18.059900331950896</v>
      </c>
      <c r="T363">
        <f>_xlfn.XLOOKUP(Table2[[#This Row],[First_egg_lay_date]],'19-20_niwa_temp_data'!B:B,'19-20_niwa_temp_data'!G:G, "No Match")</f>
        <v>16.778557744931476</v>
      </c>
    </row>
    <row r="364" spans="1:20" hidden="1" x14ac:dyDescent="0.35">
      <c r="A364" t="s">
        <v>9</v>
      </c>
      <c r="B364" t="s">
        <v>60</v>
      </c>
      <c r="C364" s="3" t="s">
        <v>149</v>
      </c>
      <c r="D364" t="str">
        <f>_xlfn.XLOOKUP(Table2[[#This Row],[Female_ID ]],'19-20_female_cohort'!I:I,'19-20_female_cohort'!H:H, "No Match")</f>
        <v>2018/2019</v>
      </c>
      <c r="E364">
        <v>1</v>
      </c>
      <c r="F364" s="11">
        <v>43793</v>
      </c>
      <c r="G364">
        <f>_xlfn.XLOOKUP(Table2[[#This Row],[First_egg_lay_date]],'19-20_niwa_temp_data'!B:B,'19-20_niwa_temp_data'!G:G, "No Match")</f>
        <v>16.778557744931476</v>
      </c>
      <c r="H364">
        <v>4</v>
      </c>
      <c r="I364" s="11">
        <v>43796</v>
      </c>
      <c r="J364">
        <f>_xlfn.XLOOKUP(Table2[[#This Row],[Nest_box_ID]],Sheet1!A:A,Sheet1!L:L, "No Match")</f>
        <v>0</v>
      </c>
      <c r="K364" s="11">
        <v>43810</v>
      </c>
      <c r="L364">
        <f>_xlfn.XLOOKUP(Table2[[#This Row],[Nest_box_ID]],Sheet1!A:A,Sheet1!K:K, "No Match")</f>
        <v>14</v>
      </c>
      <c r="M364" s="11">
        <v>43803</v>
      </c>
      <c r="N364" s="16">
        <v>0.46633101851851849</v>
      </c>
      <c r="O364">
        <v>7</v>
      </c>
      <c r="P364">
        <v>82</v>
      </c>
      <c r="Q364" t="s">
        <v>320</v>
      </c>
      <c r="R364">
        <v>700</v>
      </c>
      <c r="S364">
        <f>_xlfn.XLOOKUP(Table2[[#This Row],[Obs_date]],'19-20_niwa_temp_data'!B:B,'19-20_niwa_temp_data'!G:G, "N/A")</f>
        <v>18.059900331950896</v>
      </c>
      <c r="T364">
        <f>_xlfn.XLOOKUP(Table2[[#This Row],[First_egg_lay_date]],'19-20_niwa_temp_data'!B:B,'19-20_niwa_temp_data'!G:G, "No Match")</f>
        <v>16.778557744931476</v>
      </c>
    </row>
    <row r="365" spans="1:20" x14ac:dyDescent="0.35">
      <c r="A365" t="s">
        <v>9</v>
      </c>
      <c r="B365" t="s">
        <v>60</v>
      </c>
      <c r="C365" s="3" t="s">
        <v>149</v>
      </c>
      <c r="D365" t="str">
        <f>_xlfn.XLOOKUP(Table2[[#This Row],[Female_ID ]],'19-20_female_cohort'!I:I,'19-20_female_cohort'!H:H, "No Match")</f>
        <v>2018/2019</v>
      </c>
      <c r="E365">
        <v>1</v>
      </c>
      <c r="F365" s="11">
        <v>43793</v>
      </c>
      <c r="G365">
        <f>_xlfn.XLOOKUP(Table2[[#This Row],[First_egg_lay_date]],'19-20_niwa_temp_data'!B:B,'19-20_niwa_temp_data'!G:G, "No Match")</f>
        <v>16.778557744931476</v>
      </c>
      <c r="H365">
        <v>4</v>
      </c>
      <c r="I365" s="11">
        <v>43796</v>
      </c>
      <c r="J365">
        <f>_xlfn.XLOOKUP(Table2[[#This Row],[Nest_box_ID]],Sheet1!A:A,Sheet1!L:L, "No Match")</f>
        <v>0</v>
      </c>
      <c r="K365" s="11">
        <v>43810</v>
      </c>
      <c r="L365">
        <f>_xlfn.XLOOKUP(Table2[[#This Row],[Nest_box_ID]],Sheet1!A:A,Sheet1!K:K, "No Match")</f>
        <v>14</v>
      </c>
      <c r="M365" s="11">
        <v>43803</v>
      </c>
      <c r="N365" s="16">
        <v>0.47443287037037035</v>
      </c>
      <c r="O365">
        <v>7</v>
      </c>
      <c r="P365">
        <v>82</v>
      </c>
      <c r="Q365" t="s">
        <v>319</v>
      </c>
      <c r="R365">
        <v>1127</v>
      </c>
      <c r="S365">
        <f>_xlfn.XLOOKUP(Table2[[#This Row],[Obs_date]],'19-20_niwa_temp_data'!B:B,'19-20_niwa_temp_data'!G:G, "N/A")</f>
        <v>18.059900331950896</v>
      </c>
      <c r="T365">
        <f>_xlfn.XLOOKUP(Table2[[#This Row],[First_egg_lay_date]],'19-20_niwa_temp_data'!B:B,'19-20_niwa_temp_data'!G:G, "No Match")</f>
        <v>16.778557744931476</v>
      </c>
    </row>
    <row r="366" spans="1:20" hidden="1" x14ac:dyDescent="0.35">
      <c r="A366" t="s">
        <v>9</v>
      </c>
      <c r="B366" t="s">
        <v>60</v>
      </c>
      <c r="C366" s="3" t="s">
        <v>149</v>
      </c>
      <c r="D366" t="str">
        <f>_xlfn.XLOOKUP(Table2[[#This Row],[Female_ID ]],'19-20_female_cohort'!I:I,'19-20_female_cohort'!H:H, "No Match")</f>
        <v>2018/2019</v>
      </c>
      <c r="E366">
        <v>1</v>
      </c>
      <c r="F366" s="11">
        <v>43793</v>
      </c>
      <c r="G366">
        <f>_xlfn.XLOOKUP(Table2[[#This Row],[First_egg_lay_date]],'19-20_niwa_temp_data'!B:B,'19-20_niwa_temp_data'!G:G, "No Match")</f>
        <v>16.778557744931476</v>
      </c>
      <c r="H366">
        <v>4</v>
      </c>
      <c r="I366" s="11">
        <v>43796</v>
      </c>
      <c r="J366">
        <f>_xlfn.XLOOKUP(Table2[[#This Row],[Nest_box_ID]],Sheet1!A:A,Sheet1!L:L, "No Match")</f>
        <v>0</v>
      </c>
      <c r="K366" s="11">
        <v>43810</v>
      </c>
      <c r="L366">
        <f>_xlfn.XLOOKUP(Table2[[#This Row],[Nest_box_ID]],Sheet1!A:A,Sheet1!K:K, "No Match")</f>
        <v>14</v>
      </c>
      <c r="M366" s="11">
        <v>43803</v>
      </c>
      <c r="N366" s="16">
        <v>0.48747685185185186</v>
      </c>
      <c r="O366">
        <v>7</v>
      </c>
      <c r="P366">
        <v>82</v>
      </c>
      <c r="Q366" t="s">
        <v>320</v>
      </c>
      <c r="R366">
        <v>396</v>
      </c>
      <c r="S366">
        <f>_xlfn.XLOOKUP(Table2[[#This Row],[Obs_date]],'19-20_niwa_temp_data'!B:B,'19-20_niwa_temp_data'!G:G, "N/A")</f>
        <v>18.059900331950896</v>
      </c>
      <c r="T366">
        <f>_xlfn.XLOOKUP(Table2[[#This Row],[First_egg_lay_date]],'19-20_niwa_temp_data'!B:B,'19-20_niwa_temp_data'!G:G, "No Match")</f>
        <v>16.778557744931476</v>
      </c>
    </row>
    <row r="367" spans="1:20" x14ac:dyDescent="0.35">
      <c r="A367" t="s">
        <v>9</v>
      </c>
      <c r="B367" t="s">
        <v>60</v>
      </c>
      <c r="C367" s="3" t="s">
        <v>149</v>
      </c>
      <c r="D367" t="str">
        <f>_xlfn.XLOOKUP(Table2[[#This Row],[Female_ID ]],'19-20_female_cohort'!I:I,'19-20_female_cohort'!H:H, "No Match")</f>
        <v>2018/2019</v>
      </c>
      <c r="E367">
        <v>1</v>
      </c>
      <c r="F367" s="11">
        <v>43793</v>
      </c>
      <c r="G367">
        <f>_xlfn.XLOOKUP(Table2[[#This Row],[First_egg_lay_date]],'19-20_niwa_temp_data'!B:B,'19-20_niwa_temp_data'!G:G, "No Match")</f>
        <v>16.778557744931476</v>
      </c>
      <c r="H367">
        <v>4</v>
      </c>
      <c r="I367" s="11">
        <v>43796</v>
      </c>
      <c r="J367">
        <f>_xlfn.XLOOKUP(Table2[[#This Row],[Nest_box_ID]],Sheet1!A:A,Sheet1!L:L, "No Match")</f>
        <v>0</v>
      </c>
      <c r="K367" s="11">
        <v>43810</v>
      </c>
      <c r="L367">
        <f>_xlfn.XLOOKUP(Table2[[#This Row],[Nest_box_ID]],Sheet1!A:A,Sheet1!K:K, "No Match")</f>
        <v>14</v>
      </c>
      <c r="M367" s="11">
        <v>43803</v>
      </c>
      <c r="N367" s="16">
        <v>0.49206018518518518</v>
      </c>
      <c r="O367">
        <v>7</v>
      </c>
      <c r="P367">
        <v>82</v>
      </c>
      <c r="Q367" t="s">
        <v>319</v>
      </c>
      <c r="R367">
        <v>178</v>
      </c>
      <c r="S367">
        <f>_xlfn.XLOOKUP(Table2[[#This Row],[Obs_date]],'19-20_niwa_temp_data'!B:B,'19-20_niwa_temp_data'!G:G, "N/A")</f>
        <v>18.059900331950896</v>
      </c>
      <c r="T367">
        <f>_xlfn.XLOOKUP(Table2[[#This Row],[First_egg_lay_date]],'19-20_niwa_temp_data'!B:B,'19-20_niwa_temp_data'!G:G, "No Match")</f>
        <v>16.778557744931476</v>
      </c>
    </row>
    <row r="368" spans="1:20" hidden="1" x14ac:dyDescent="0.35">
      <c r="A368" t="s">
        <v>9</v>
      </c>
      <c r="B368" t="s">
        <v>60</v>
      </c>
      <c r="C368" s="3" t="s">
        <v>149</v>
      </c>
      <c r="D368" t="str">
        <f>_xlfn.XLOOKUP(Table2[[#This Row],[Female_ID ]],'19-20_female_cohort'!I:I,'19-20_female_cohort'!H:H, "No Match")</f>
        <v>2018/2019</v>
      </c>
      <c r="E368">
        <v>1</v>
      </c>
      <c r="F368" s="11">
        <v>43793</v>
      </c>
      <c r="G368">
        <f>_xlfn.XLOOKUP(Table2[[#This Row],[First_egg_lay_date]],'19-20_niwa_temp_data'!B:B,'19-20_niwa_temp_data'!G:G, "No Match")</f>
        <v>16.778557744931476</v>
      </c>
      <c r="H368">
        <v>4</v>
      </c>
      <c r="I368" s="11">
        <v>43796</v>
      </c>
      <c r="J368">
        <f>_xlfn.XLOOKUP(Table2[[#This Row],[Nest_box_ID]],Sheet1!A:A,Sheet1!L:L, "No Match")</f>
        <v>0</v>
      </c>
      <c r="K368" s="11">
        <v>43810</v>
      </c>
      <c r="L368">
        <f>_xlfn.XLOOKUP(Table2[[#This Row],[Nest_box_ID]],Sheet1!A:A,Sheet1!K:K, "No Match")</f>
        <v>14</v>
      </c>
      <c r="M368" s="11">
        <v>43803</v>
      </c>
      <c r="N368" s="16">
        <v>0.49412037037037038</v>
      </c>
      <c r="O368">
        <v>7</v>
      </c>
      <c r="P368">
        <v>82</v>
      </c>
      <c r="Q368" t="s">
        <v>320</v>
      </c>
      <c r="R368" t="s">
        <v>254</v>
      </c>
      <c r="S368">
        <f>_xlfn.XLOOKUP(Table2[[#This Row],[Obs_date]],'19-20_niwa_temp_data'!B:B,'19-20_niwa_temp_data'!G:G, "N/A")</f>
        <v>18.059900331950896</v>
      </c>
      <c r="T368">
        <f>_xlfn.XLOOKUP(Table2[[#This Row],[First_egg_lay_date]],'19-20_niwa_temp_data'!B:B,'19-20_niwa_temp_data'!G:G, "No Match")</f>
        <v>16.778557744931476</v>
      </c>
    </row>
    <row r="369" spans="1:20" x14ac:dyDescent="0.35">
      <c r="A369" t="s">
        <v>9</v>
      </c>
      <c r="B369" t="s">
        <v>72</v>
      </c>
      <c r="C369" s="3" t="s">
        <v>161</v>
      </c>
      <c r="D369" t="str">
        <f>_xlfn.XLOOKUP(Table2[[#This Row],[Female_ID ]],'19-20_female_cohort'!I:I,'19-20_female_cohort'!H:H, "No Match")</f>
        <v>2017/2018</v>
      </c>
      <c r="E369">
        <v>2</v>
      </c>
      <c r="F369" s="11">
        <v>43804</v>
      </c>
      <c r="G369">
        <f>_xlfn.XLOOKUP(Table2[[#This Row],[First_egg_lay_date]],'19-20_niwa_temp_data'!B:B,'19-20_niwa_temp_data'!G:G, "No Match")</f>
        <v>17.28930305130892</v>
      </c>
      <c r="H369">
        <v>3</v>
      </c>
      <c r="I369" s="11">
        <v>43806</v>
      </c>
      <c r="J369" t="str">
        <f>_xlfn.XLOOKUP(Table2[[#This Row],[Nest_box_ID]],Sheet1!A:A,Sheet1!L:L, "No Match")</f>
        <v>N/A</v>
      </c>
      <c r="K369" s="11">
        <v>43821</v>
      </c>
      <c r="L369">
        <f>_xlfn.XLOOKUP(Table2[[#This Row],[Nest_box_ID]],Sheet1!A:A,Sheet1!K:K, "No Match")</f>
        <v>15</v>
      </c>
      <c r="M369" s="11">
        <v>43808</v>
      </c>
      <c r="N369" s="16">
        <v>0.52593749999999995</v>
      </c>
      <c r="O369">
        <v>1</v>
      </c>
      <c r="P369">
        <v>67</v>
      </c>
      <c r="Q369" t="s">
        <v>319</v>
      </c>
      <c r="R369">
        <v>192</v>
      </c>
      <c r="S369">
        <f>_xlfn.XLOOKUP(Table2[[#This Row],[Obs_date]],'19-20_niwa_temp_data'!B:B,'19-20_niwa_temp_data'!G:G, "N/A")</f>
        <v>17.951044537853498</v>
      </c>
      <c r="T369">
        <f>_xlfn.XLOOKUP(Table2[[#This Row],[First_egg_lay_date]],'19-20_niwa_temp_data'!B:B,'19-20_niwa_temp_data'!G:G, "No Match")</f>
        <v>17.28930305130892</v>
      </c>
    </row>
    <row r="370" spans="1:20" hidden="1" x14ac:dyDescent="0.35">
      <c r="A370" t="s">
        <v>9</v>
      </c>
      <c r="B370" t="s">
        <v>72</v>
      </c>
      <c r="C370" s="3" t="s">
        <v>161</v>
      </c>
      <c r="D370" t="str">
        <f>_xlfn.XLOOKUP(Table2[[#This Row],[Female_ID ]],'19-20_female_cohort'!I:I,'19-20_female_cohort'!H:H, "No Match")</f>
        <v>2017/2018</v>
      </c>
      <c r="E370">
        <v>2</v>
      </c>
      <c r="F370" s="11">
        <v>43804</v>
      </c>
      <c r="G370">
        <f>_xlfn.XLOOKUP(Table2[[#This Row],[First_egg_lay_date]],'19-20_niwa_temp_data'!B:B,'19-20_niwa_temp_data'!G:G, "No Match")</f>
        <v>17.28930305130892</v>
      </c>
      <c r="H370">
        <v>3</v>
      </c>
      <c r="I370" s="11">
        <v>43806</v>
      </c>
      <c r="J370" t="str">
        <f>_xlfn.XLOOKUP(Table2[[#This Row],[Nest_box_ID]],Sheet1!A:A,Sheet1!L:L, "No Match")</f>
        <v>N/A</v>
      </c>
      <c r="K370" s="11">
        <v>43821</v>
      </c>
      <c r="L370">
        <f>_xlfn.XLOOKUP(Table2[[#This Row],[Nest_box_ID]],Sheet1!A:A,Sheet1!K:K, "No Match")</f>
        <v>15</v>
      </c>
      <c r="M370" s="11">
        <v>43808</v>
      </c>
      <c r="N370" s="16">
        <v>0.52815972222222218</v>
      </c>
      <c r="O370">
        <v>1</v>
      </c>
      <c r="P370">
        <v>67</v>
      </c>
      <c r="Q370" t="s">
        <v>320</v>
      </c>
      <c r="R370">
        <v>260</v>
      </c>
      <c r="S370">
        <f>_xlfn.XLOOKUP(Table2[[#This Row],[Obs_date]],'19-20_niwa_temp_data'!B:B,'19-20_niwa_temp_data'!G:G, "N/A")</f>
        <v>17.951044537853498</v>
      </c>
      <c r="T370">
        <f>_xlfn.XLOOKUP(Table2[[#This Row],[First_egg_lay_date]],'19-20_niwa_temp_data'!B:B,'19-20_niwa_temp_data'!G:G, "No Match")</f>
        <v>17.28930305130892</v>
      </c>
    </row>
    <row r="371" spans="1:20" x14ac:dyDescent="0.35">
      <c r="A371" t="s">
        <v>9</v>
      </c>
      <c r="B371" t="s">
        <v>72</v>
      </c>
      <c r="C371" s="3" t="s">
        <v>161</v>
      </c>
      <c r="D371" t="str">
        <f>_xlfn.XLOOKUP(Table2[[#This Row],[Female_ID ]],'19-20_female_cohort'!I:I,'19-20_female_cohort'!H:H, "No Match")</f>
        <v>2017/2018</v>
      </c>
      <c r="E371">
        <v>2</v>
      </c>
      <c r="F371" s="11">
        <v>43804</v>
      </c>
      <c r="G371">
        <f>_xlfn.XLOOKUP(Table2[[#This Row],[First_egg_lay_date]],'19-20_niwa_temp_data'!B:B,'19-20_niwa_temp_data'!G:G, "No Match")</f>
        <v>17.28930305130892</v>
      </c>
      <c r="H371">
        <v>3</v>
      </c>
      <c r="I371" s="11">
        <v>43806</v>
      </c>
      <c r="J371" t="str">
        <f>_xlfn.XLOOKUP(Table2[[#This Row],[Nest_box_ID]],Sheet1!A:A,Sheet1!L:L, "No Match")</f>
        <v>N/A</v>
      </c>
      <c r="K371" s="11">
        <v>43821</v>
      </c>
      <c r="L371">
        <f>_xlfn.XLOOKUP(Table2[[#This Row],[Nest_box_ID]],Sheet1!A:A,Sheet1!K:K, "No Match")</f>
        <v>15</v>
      </c>
      <c r="M371" s="11">
        <v>43808</v>
      </c>
      <c r="N371" s="16">
        <v>0.53116898148148151</v>
      </c>
      <c r="O371">
        <v>1</v>
      </c>
      <c r="P371">
        <v>67</v>
      </c>
      <c r="Q371" t="s">
        <v>319</v>
      </c>
      <c r="R371">
        <v>66</v>
      </c>
      <c r="S371">
        <f>_xlfn.XLOOKUP(Table2[[#This Row],[Obs_date]],'19-20_niwa_temp_data'!B:B,'19-20_niwa_temp_data'!G:G, "N/A")</f>
        <v>17.951044537853498</v>
      </c>
      <c r="T371">
        <f>_xlfn.XLOOKUP(Table2[[#This Row],[First_egg_lay_date]],'19-20_niwa_temp_data'!B:B,'19-20_niwa_temp_data'!G:G, "No Match")</f>
        <v>17.28930305130892</v>
      </c>
    </row>
    <row r="372" spans="1:20" hidden="1" x14ac:dyDescent="0.35">
      <c r="A372" t="s">
        <v>9</v>
      </c>
      <c r="B372" t="s">
        <v>72</v>
      </c>
      <c r="C372" s="3" t="s">
        <v>161</v>
      </c>
      <c r="D372" t="str">
        <f>_xlfn.XLOOKUP(Table2[[#This Row],[Female_ID ]],'19-20_female_cohort'!I:I,'19-20_female_cohort'!H:H, "No Match")</f>
        <v>2017/2018</v>
      </c>
      <c r="E372">
        <v>2</v>
      </c>
      <c r="F372" s="11">
        <v>43804</v>
      </c>
      <c r="G372">
        <f>_xlfn.XLOOKUP(Table2[[#This Row],[First_egg_lay_date]],'19-20_niwa_temp_data'!B:B,'19-20_niwa_temp_data'!G:G, "No Match")</f>
        <v>17.28930305130892</v>
      </c>
      <c r="H372">
        <v>3</v>
      </c>
      <c r="I372" s="11">
        <v>43806</v>
      </c>
      <c r="J372" t="str">
        <f>_xlfn.XLOOKUP(Table2[[#This Row],[Nest_box_ID]],Sheet1!A:A,Sheet1!L:L, "No Match")</f>
        <v>N/A</v>
      </c>
      <c r="K372" s="11">
        <v>43821</v>
      </c>
      <c r="L372">
        <f>_xlfn.XLOOKUP(Table2[[#This Row],[Nest_box_ID]],Sheet1!A:A,Sheet1!K:K, "No Match")</f>
        <v>15</v>
      </c>
      <c r="M372" s="11">
        <v>43808</v>
      </c>
      <c r="N372" s="16">
        <v>0.5319328703703704</v>
      </c>
      <c r="O372">
        <v>1</v>
      </c>
      <c r="P372">
        <v>67</v>
      </c>
      <c r="Q372" t="s">
        <v>320</v>
      </c>
      <c r="R372">
        <v>253</v>
      </c>
      <c r="S372">
        <f>_xlfn.XLOOKUP(Table2[[#This Row],[Obs_date]],'19-20_niwa_temp_data'!B:B,'19-20_niwa_temp_data'!G:G, "N/A")</f>
        <v>17.951044537853498</v>
      </c>
      <c r="T372">
        <f>_xlfn.XLOOKUP(Table2[[#This Row],[First_egg_lay_date]],'19-20_niwa_temp_data'!B:B,'19-20_niwa_temp_data'!G:G, "No Match")</f>
        <v>17.28930305130892</v>
      </c>
    </row>
    <row r="373" spans="1:20" x14ac:dyDescent="0.35">
      <c r="A373" t="s">
        <v>9</v>
      </c>
      <c r="B373" t="s">
        <v>72</v>
      </c>
      <c r="C373" s="3" t="s">
        <v>161</v>
      </c>
      <c r="D373" t="str">
        <f>_xlfn.XLOOKUP(Table2[[#This Row],[Female_ID ]],'19-20_female_cohort'!I:I,'19-20_female_cohort'!H:H, "No Match")</f>
        <v>2017/2018</v>
      </c>
      <c r="E373">
        <v>2</v>
      </c>
      <c r="F373" s="11">
        <v>43804</v>
      </c>
      <c r="G373">
        <f>_xlfn.XLOOKUP(Table2[[#This Row],[First_egg_lay_date]],'19-20_niwa_temp_data'!B:B,'19-20_niwa_temp_data'!G:G, "No Match")</f>
        <v>17.28930305130892</v>
      </c>
      <c r="H373">
        <v>3</v>
      </c>
      <c r="I373" s="11">
        <v>43806</v>
      </c>
      <c r="J373" t="str">
        <f>_xlfn.XLOOKUP(Table2[[#This Row],[Nest_box_ID]],Sheet1!A:A,Sheet1!L:L, "No Match")</f>
        <v>N/A</v>
      </c>
      <c r="K373" s="11">
        <v>43821</v>
      </c>
      <c r="L373">
        <f>_xlfn.XLOOKUP(Table2[[#This Row],[Nest_box_ID]],Sheet1!A:A,Sheet1!K:K, "No Match")</f>
        <v>15</v>
      </c>
      <c r="M373" s="11">
        <v>43808</v>
      </c>
      <c r="N373" s="16">
        <v>0.53486111111111112</v>
      </c>
      <c r="O373">
        <v>1</v>
      </c>
      <c r="P373">
        <v>67</v>
      </c>
      <c r="Q373" t="s">
        <v>319</v>
      </c>
      <c r="R373">
        <v>187</v>
      </c>
      <c r="S373">
        <f>_xlfn.XLOOKUP(Table2[[#This Row],[Obs_date]],'19-20_niwa_temp_data'!B:B,'19-20_niwa_temp_data'!G:G, "N/A")</f>
        <v>17.951044537853498</v>
      </c>
      <c r="T373">
        <f>_xlfn.XLOOKUP(Table2[[#This Row],[First_egg_lay_date]],'19-20_niwa_temp_data'!B:B,'19-20_niwa_temp_data'!G:G, "No Match")</f>
        <v>17.28930305130892</v>
      </c>
    </row>
    <row r="374" spans="1:20" hidden="1" x14ac:dyDescent="0.35">
      <c r="A374" t="s">
        <v>9</v>
      </c>
      <c r="B374" t="s">
        <v>72</v>
      </c>
      <c r="C374" s="3" t="s">
        <v>161</v>
      </c>
      <c r="D374" t="str">
        <f>_xlfn.XLOOKUP(Table2[[#This Row],[Female_ID ]],'19-20_female_cohort'!I:I,'19-20_female_cohort'!H:H, "No Match")</f>
        <v>2017/2018</v>
      </c>
      <c r="E374">
        <v>2</v>
      </c>
      <c r="F374" s="11">
        <v>43804</v>
      </c>
      <c r="G374">
        <f>_xlfn.XLOOKUP(Table2[[#This Row],[First_egg_lay_date]],'19-20_niwa_temp_data'!B:B,'19-20_niwa_temp_data'!G:G, "No Match")</f>
        <v>17.28930305130892</v>
      </c>
      <c r="H374">
        <v>3</v>
      </c>
      <c r="I374" s="11">
        <v>43806</v>
      </c>
      <c r="J374" t="str">
        <f>_xlfn.XLOOKUP(Table2[[#This Row],[Nest_box_ID]],Sheet1!A:A,Sheet1!L:L, "No Match")</f>
        <v>N/A</v>
      </c>
      <c r="K374" s="11">
        <v>43821</v>
      </c>
      <c r="L374">
        <f>_xlfn.XLOOKUP(Table2[[#This Row],[Nest_box_ID]],Sheet1!A:A,Sheet1!K:K, "No Match")</f>
        <v>15</v>
      </c>
      <c r="M374" s="11">
        <v>43808</v>
      </c>
      <c r="N374" s="16">
        <v>0.53702546296296294</v>
      </c>
      <c r="O374">
        <v>1</v>
      </c>
      <c r="P374">
        <v>67</v>
      </c>
      <c r="Q374" t="s">
        <v>320</v>
      </c>
      <c r="R374">
        <v>899</v>
      </c>
      <c r="S374">
        <f>_xlfn.XLOOKUP(Table2[[#This Row],[Obs_date]],'19-20_niwa_temp_data'!B:B,'19-20_niwa_temp_data'!G:G, "N/A")</f>
        <v>17.951044537853498</v>
      </c>
      <c r="T374">
        <f>_xlfn.XLOOKUP(Table2[[#This Row],[First_egg_lay_date]],'19-20_niwa_temp_data'!B:B,'19-20_niwa_temp_data'!G:G, "No Match")</f>
        <v>17.28930305130892</v>
      </c>
    </row>
    <row r="375" spans="1:20" x14ac:dyDescent="0.35">
      <c r="A375" t="s">
        <v>9</v>
      </c>
      <c r="B375" t="s">
        <v>72</v>
      </c>
      <c r="C375" s="3" t="s">
        <v>161</v>
      </c>
      <c r="D375" t="str">
        <f>_xlfn.XLOOKUP(Table2[[#This Row],[Female_ID ]],'19-20_female_cohort'!I:I,'19-20_female_cohort'!H:H, "No Match")</f>
        <v>2017/2018</v>
      </c>
      <c r="E375">
        <v>2</v>
      </c>
      <c r="F375" s="11">
        <v>43804</v>
      </c>
      <c r="G375">
        <f>_xlfn.XLOOKUP(Table2[[#This Row],[First_egg_lay_date]],'19-20_niwa_temp_data'!B:B,'19-20_niwa_temp_data'!G:G, "No Match")</f>
        <v>17.28930305130892</v>
      </c>
      <c r="H375">
        <v>3</v>
      </c>
      <c r="I375" s="11">
        <v>43806</v>
      </c>
      <c r="J375" t="str">
        <f>_xlfn.XLOOKUP(Table2[[#This Row],[Nest_box_ID]],Sheet1!A:A,Sheet1!L:L, "No Match")</f>
        <v>N/A</v>
      </c>
      <c r="K375" s="11">
        <v>43821</v>
      </c>
      <c r="L375">
        <f>_xlfn.XLOOKUP(Table2[[#This Row],[Nest_box_ID]],Sheet1!A:A,Sheet1!K:K, "No Match")</f>
        <v>15</v>
      </c>
      <c r="M375" s="11">
        <v>43808</v>
      </c>
      <c r="N375" s="16">
        <v>0.54743055555555553</v>
      </c>
      <c r="O375">
        <v>1</v>
      </c>
      <c r="P375">
        <v>67</v>
      </c>
      <c r="Q375" t="s">
        <v>319</v>
      </c>
      <c r="R375">
        <v>651</v>
      </c>
      <c r="S375">
        <f>_xlfn.XLOOKUP(Table2[[#This Row],[Obs_date]],'19-20_niwa_temp_data'!B:B,'19-20_niwa_temp_data'!G:G, "N/A")</f>
        <v>17.951044537853498</v>
      </c>
      <c r="T375">
        <f>_xlfn.XLOOKUP(Table2[[#This Row],[First_egg_lay_date]],'19-20_niwa_temp_data'!B:B,'19-20_niwa_temp_data'!G:G, "No Match")</f>
        <v>17.28930305130892</v>
      </c>
    </row>
    <row r="376" spans="1:20" hidden="1" x14ac:dyDescent="0.35">
      <c r="A376" t="s">
        <v>9</v>
      </c>
      <c r="B376" t="s">
        <v>72</v>
      </c>
      <c r="C376" s="3" t="s">
        <v>161</v>
      </c>
      <c r="D376" t="str">
        <f>_xlfn.XLOOKUP(Table2[[#This Row],[Female_ID ]],'19-20_female_cohort'!I:I,'19-20_female_cohort'!H:H, "No Match")</f>
        <v>2017/2018</v>
      </c>
      <c r="E376">
        <v>2</v>
      </c>
      <c r="F376" s="11">
        <v>43804</v>
      </c>
      <c r="G376">
        <f>_xlfn.XLOOKUP(Table2[[#This Row],[First_egg_lay_date]],'19-20_niwa_temp_data'!B:B,'19-20_niwa_temp_data'!G:G, "No Match")</f>
        <v>17.28930305130892</v>
      </c>
      <c r="H376">
        <v>3</v>
      </c>
      <c r="I376" s="11">
        <v>43806</v>
      </c>
      <c r="J376" t="str">
        <f>_xlfn.XLOOKUP(Table2[[#This Row],[Nest_box_ID]],Sheet1!A:A,Sheet1!L:L, "No Match")</f>
        <v>N/A</v>
      </c>
      <c r="K376" s="11">
        <v>43821</v>
      </c>
      <c r="L376">
        <f>_xlfn.XLOOKUP(Table2[[#This Row],[Nest_box_ID]],Sheet1!A:A,Sheet1!K:K, "No Match")</f>
        <v>15</v>
      </c>
      <c r="M376" s="11">
        <v>43808</v>
      </c>
      <c r="N376" s="16">
        <v>0.55496527777777782</v>
      </c>
      <c r="O376">
        <v>1</v>
      </c>
      <c r="P376">
        <v>67</v>
      </c>
      <c r="Q376" t="s">
        <v>320</v>
      </c>
      <c r="R376" t="s">
        <v>254</v>
      </c>
      <c r="S376">
        <f>_xlfn.XLOOKUP(Table2[[#This Row],[Obs_date]],'19-20_niwa_temp_data'!B:B,'19-20_niwa_temp_data'!G:G, "N/A")</f>
        <v>17.951044537853498</v>
      </c>
      <c r="T376">
        <f>_xlfn.XLOOKUP(Table2[[#This Row],[First_egg_lay_date]],'19-20_niwa_temp_data'!B:B,'19-20_niwa_temp_data'!G:G, "No Match")</f>
        <v>17.28930305130892</v>
      </c>
    </row>
    <row r="377" spans="1:20" hidden="1" x14ac:dyDescent="0.35">
      <c r="A377" t="s">
        <v>9</v>
      </c>
      <c r="B377" t="s">
        <v>65</v>
      </c>
      <c r="C377" s="3" t="s">
        <v>154</v>
      </c>
      <c r="D377" t="str">
        <f>_xlfn.XLOOKUP(Table2[[#This Row],[Female_ID ]],'19-20_female_cohort'!I:I,'19-20_female_cohort'!H:H, "No Match")</f>
        <v>2015/2016</v>
      </c>
      <c r="E377">
        <v>4</v>
      </c>
      <c r="F377" s="11">
        <v>43798</v>
      </c>
      <c r="G377">
        <f>_xlfn.XLOOKUP(Table2[[#This Row],[First_egg_lay_date]],'19-20_niwa_temp_data'!B:B,'19-20_niwa_temp_data'!G:G, "No Match")</f>
        <v>18.110770276274835</v>
      </c>
      <c r="H377">
        <v>4</v>
      </c>
      <c r="I377" s="11">
        <v>43801</v>
      </c>
      <c r="J377">
        <f>_xlfn.XLOOKUP(Table2[[#This Row],[Nest_box_ID]],Sheet1!A:A,Sheet1!L:L, "No Match")</f>
        <v>0</v>
      </c>
      <c r="K377" s="11">
        <v>43816</v>
      </c>
      <c r="L377">
        <f>_xlfn.XLOOKUP(Table2[[#This Row],[Nest_box_ID]],Sheet1!A:A,Sheet1!K:K, "No Match")</f>
        <v>15</v>
      </c>
      <c r="M377" s="11">
        <v>43803</v>
      </c>
      <c r="N377" s="16">
        <v>0.58296296296296302</v>
      </c>
      <c r="O377">
        <v>2</v>
      </c>
      <c r="P377">
        <v>85</v>
      </c>
      <c r="Q377" t="s">
        <v>320</v>
      </c>
      <c r="R377">
        <v>1329</v>
      </c>
      <c r="S377">
        <f>_xlfn.XLOOKUP(Table2[[#This Row],[Obs_date]],'19-20_niwa_temp_data'!B:B,'19-20_niwa_temp_data'!G:G, "N/A")</f>
        <v>18.059900331950896</v>
      </c>
      <c r="T377">
        <f>_xlfn.XLOOKUP(Table2[[#This Row],[First_egg_lay_date]],'19-20_niwa_temp_data'!B:B,'19-20_niwa_temp_data'!G:G, "No Match")</f>
        <v>18.110770276274835</v>
      </c>
    </row>
    <row r="378" spans="1:20" x14ac:dyDescent="0.35">
      <c r="A378" t="s">
        <v>9</v>
      </c>
      <c r="B378" t="s">
        <v>65</v>
      </c>
      <c r="C378" s="3" t="s">
        <v>154</v>
      </c>
      <c r="D378" t="str">
        <f>_xlfn.XLOOKUP(Table2[[#This Row],[Female_ID ]],'19-20_female_cohort'!I:I,'19-20_female_cohort'!H:H, "No Match")</f>
        <v>2015/2016</v>
      </c>
      <c r="E378">
        <v>4</v>
      </c>
      <c r="F378" s="11">
        <v>43798</v>
      </c>
      <c r="G378">
        <f>_xlfn.XLOOKUP(Table2[[#This Row],[First_egg_lay_date]],'19-20_niwa_temp_data'!B:B,'19-20_niwa_temp_data'!G:G, "No Match")</f>
        <v>18.110770276274835</v>
      </c>
      <c r="H378">
        <v>4</v>
      </c>
      <c r="I378" s="11">
        <v>43801</v>
      </c>
      <c r="J378">
        <f>_xlfn.XLOOKUP(Table2[[#This Row],[Nest_box_ID]],Sheet1!A:A,Sheet1!L:L, "No Match")</f>
        <v>0</v>
      </c>
      <c r="K378" s="11">
        <v>43816</v>
      </c>
      <c r="L378">
        <f>_xlfn.XLOOKUP(Table2[[#This Row],[Nest_box_ID]],Sheet1!A:A,Sheet1!K:K, "No Match")</f>
        <v>15</v>
      </c>
      <c r="M378" s="11">
        <v>43803</v>
      </c>
      <c r="N378" s="16">
        <v>0.59834490740740742</v>
      </c>
      <c r="O378">
        <v>2</v>
      </c>
      <c r="P378">
        <v>85</v>
      </c>
      <c r="Q378" t="s">
        <v>319</v>
      </c>
      <c r="R378">
        <v>414</v>
      </c>
      <c r="S378">
        <f>_xlfn.XLOOKUP(Table2[[#This Row],[Obs_date]],'19-20_niwa_temp_data'!B:B,'19-20_niwa_temp_data'!G:G, "N/A")</f>
        <v>18.059900331950896</v>
      </c>
      <c r="T378">
        <f>_xlfn.XLOOKUP(Table2[[#This Row],[First_egg_lay_date]],'19-20_niwa_temp_data'!B:B,'19-20_niwa_temp_data'!G:G, "No Match")</f>
        <v>18.110770276274835</v>
      </c>
    </row>
    <row r="379" spans="1:20" hidden="1" x14ac:dyDescent="0.35">
      <c r="A379" t="s">
        <v>9</v>
      </c>
      <c r="B379" t="s">
        <v>65</v>
      </c>
      <c r="C379" s="3" t="s">
        <v>154</v>
      </c>
      <c r="D379" t="str">
        <f>_xlfn.XLOOKUP(Table2[[#This Row],[Female_ID ]],'19-20_female_cohort'!I:I,'19-20_female_cohort'!H:H, "No Match")</f>
        <v>2015/2016</v>
      </c>
      <c r="E379">
        <v>4</v>
      </c>
      <c r="F379" s="11">
        <v>43798</v>
      </c>
      <c r="G379">
        <f>_xlfn.XLOOKUP(Table2[[#This Row],[First_egg_lay_date]],'19-20_niwa_temp_data'!B:B,'19-20_niwa_temp_data'!G:G, "No Match")</f>
        <v>18.110770276274835</v>
      </c>
      <c r="H379">
        <v>4</v>
      </c>
      <c r="I379" s="11">
        <v>43801</v>
      </c>
      <c r="J379">
        <f>_xlfn.XLOOKUP(Table2[[#This Row],[Nest_box_ID]],Sheet1!A:A,Sheet1!L:L, "No Match")</f>
        <v>0</v>
      </c>
      <c r="K379" s="11">
        <v>43816</v>
      </c>
      <c r="L379">
        <f>_xlfn.XLOOKUP(Table2[[#This Row],[Nest_box_ID]],Sheet1!A:A,Sheet1!K:K, "No Match")</f>
        <v>15</v>
      </c>
      <c r="M379" s="11">
        <v>43803</v>
      </c>
      <c r="N379" s="16">
        <v>0.60313657407407406</v>
      </c>
      <c r="O379">
        <v>2</v>
      </c>
      <c r="P379">
        <v>85</v>
      </c>
      <c r="Q379" t="s">
        <v>320</v>
      </c>
      <c r="R379">
        <v>2142</v>
      </c>
      <c r="S379">
        <f>_xlfn.XLOOKUP(Table2[[#This Row],[Obs_date]],'19-20_niwa_temp_data'!B:B,'19-20_niwa_temp_data'!G:G, "N/A")</f>
        <v>18.059900331950896</v>
      </c>
      <c r="T379">
        <f>_xlfn.XLOOKUP(Table2[[#This Row],[First_egg_lay_date]],'19-20_niwa_temp_data'!B:B,'19-20_niwa_temp_data'!G:G, "No Match")</f>
        <v>18.110770276274835</v>
      </c>
    </row>
    <row r="380" spans="1:20" x14ac:dyDescent="0.35">
      <c r="A380" t="s">
        <v>9</v>
      </c>
      <c r="B380" t="s">
        <v>65</v>
      </c>
      <c r="C380" s="3" t="s">
        <v>154</v>
      </c>
      <c r="D380" t="str">
        <f>_xlfn.XLOOKUP(Table2[[#This Row],[Female_ID ]],'19-20_female_cohort'!I:I,'19-20_female_cohort'!H:H, "No Match")</f>
        <v>2015/2016</v>
      </c>
      <c r="E380">
        <v>4</v>
      </c>
      <c r="F380" s="11">
        <v>43798</v>
      </c>
      <c r="G380">
        <f>_xlfn.XLOOKUP(Table2[[#This Row],[First_egg_lay_date]],'19-20_niwa_temp_data'!B:B,'19-20_niwa_temp_data'!G:G, "No Match")</f>
        <v>18.110770276274835</v>
      </c>
      <c r="H380">
        <v>4</v>
      </c>
      <c r="I380" s="11">
        <v>43801</v>
      </c>
      <c r="J380">
        <f>_xlfn.XLOOKUP(Table2[[#This Row],[Nest_box_ID]],Sheet1!A:A,Sheet1!L:L, "No Match")</f>
        <v>0</v>
      </c>
      <c r="K380" s="11">
        <v>43816</v>
      </c>
      <c r="L380">
        <f>_xlfn.XLOOKUP(Table2[[#This Row],[Nest_box_ID]],Sheet1!A:A,Sheet1!K:K, "No Match")</f>
        <v>15</v>
      </c>
      <c r="M380" s="11">
        <v>43803</v>
      </c>
      <c r="N380" s="16">
        <v>0.62792824074074072</v>
      </c>
      <c r="O380">
        <v>2</v>
      </c>
      <c r="P380">
        <v>85</v>
      </c>
      <c r="Q380" t="s">
        <v>319</v>
      </c>
      <c r="R380">
        <v>312</v>
      </c>
      <c r="S380">
        <f>_xlfn.XLOOKUP(Table2[[#This Row],[Obs_date]],'19-20_niwa_temp_data'!B:B,'19-20_niwa_temp_data'!G:G, "N/A")</f>
        <v>18.059900331950896</v>
      </c>
      <c r="T380">
        <f>_xlfn.XLOOKUP(Table2[[#This Row],[First_egg_lay_date]],'19-20_niwa_temp_data'!B:B,'19-20_niwa_temp_data'!G:G, "No Match")</f>
        <v>18.110770276274835</v>
      </c>
    </row>
    <row r="381" spans="1:20" hidden="1" x14ac:dyDescent="0.35">
      <c r="A381" t="s">
        <v>9</v>
      </c>
      <c r="B381" t="s">
        <v>65</v>
      </c>
      <c r="C381" s="3" t="s">
        <v>154</v>
      </c>
      <c r="D381" t="str">
        <f>_xlfn.XLOOKUP(Table2[[#This Row],[Female_ID ]],'19-20_female_cohort'!I:I,'19-20_female_cohort'!H:H, "No Match")</f>
        <v>2015/2016</v>
      </c>
      <c r="E381">
        <v>4</v>
      </c>
      <c r="F381" s="11">
        <v>43798</v>
      </c>
      <c r="G381">
        <f>_xlfn.XLOOKUP(Table2[[#This Row],[First_egg_lay_date]],'19-20_niwa_temp_data'!B:B,'19-20_niwa_temp_data'!G:G, "No Match")</f>
        <v>18.110770276274835</v>
      </c>
      <c r="H381">
        <v>4</v>
      </c>
      <c r="I381" s="11">
        <v>43801</v>
      </c>
      <c r="J381">
        <f>_xlfn.XLOOKUP(Table2[[#This Row],[Nest_box_ID]],Sheet1!A:A,Sheet1!L:L, "No Match")</f>
        <v>0</v>
      </c>
      <c r="K381" s="11">
        <v>43816</v>
      </c>
      <c r="L381">
        <f>_xlfn.XLOOKUP(Table2[[#This Row],[Nest_box_ID]],Sheet1!A:A,Sheet1!K:K, "No Match")</f>
        <v>15</v>
      </c>
      <c r="M381" s="11">
        <v>43803</v>
      </c>
      <c r="N381" s="16">
        <v>0.63153935185185184</v>
      </c>
      <c r="O381">
        <v>2</v>
      </c>
      <c r="P381">
        <v>85</v>
      </c>
      <c r="Q381" t="s">
        <v>320</v>
      </c>
      <c r="R381" t="s">
        <v>254</v>
      </c>
      <c r="S381">
        <f>_xlfn.XLOOKUP(Table2[[#This Row],[Obs_date]],'19-20_niwa_temp_data'!B:B,'19-20_niwa_temp_data'!G:G, "N/A")</f>
        <v>18.059900331950896</v>
      </c>
      <c r="T381">
        <f>_xlfn.XLOOKUP(Table2[[#This Row],[First_egg_lay_date]],'19-20_niwa_temp_data'!B:B,'19-20_niwa_temp_data'!G:G, "No Match")</f>
        <v>18.110770276274835</v>
      </c>
    </row>
    <row r="382" spans="1:20" x14ac:dyDescent="0.35">
      <c r="A382" t="s">
        <v>9</v>
      </c>
      <c r="B382" t="s">
        <v>65</v>
      </c>
      <c r="C382" s="3" t="s">
        <v>154</v>
      </c>
      <c r="D382" t="str">
        <f>_xlfn.XLOOKUP(Table2[[#This Row],[Female_ID ]],'19-20_female_cohort'!I:I,'19-20_female_cohort'!H:H, "No Match")</f>
        <v>2015/2016</v>
      </c>
      <c r="E382">
        <v>4</v>
      </c>
      <c r="F382" s="11">
        <v>43798</v>
      </c>
      <c r="G382">
        <f>_xlfn.XLOOKUP(Table2[[#This Row],[First_egg_lay_date]],'19-20_niwa_temp_data'!B:B,'19-20_niwa_temp_data'!G:G, "No Match")</f>
        <v>18.110770276274835</v>
      </c>
      <c r="H382">
        <v>4</v>
      </c>
      <c r="I382" s="11">
        <v>43801</v>
      </c>
      <c r="J382">
        <f>_xlfn.XLOOKUP(Table2[[#This Row],[Nest_box_ID]],Sheet1!A:A,Sheet1!L:L, "No Match")</f>
        <v>0</v>
      </c>
      <c r="K382" s="11">
        <v>43816</v>
      </c>
      <c r="L382">
        <f>_xlfn.XLOOKUP(Table2[[#This Row],[Nest_box_ID]],Sheet1!A:A,Sheet1!K:K, "No Match")</f>
        <v>15</v>
      </c>
      <c r="M382" s="11">
        <v>43808</v>
      </c>
      <c r="N382" s="16">
        <v>0.48358796296296297</v>
      </c>
      <c r="O382">
        <v>7</v>
      </c>
      <c r="P382">
        <v>73</v>
      </c>
      <c r="Q382" t="s">
        <v>319</v>
      </c>
      <c r="R382">
        <v>304</v>
      </c>
      <c r="S382">
        <f>_xlfn.XLOOKUP(Table2[[#This Row],[Obs_date]],'19-20_niwa_temp_data'!B:B,'19-20_niwa_temp_data'!G:G, "N/A")</f>
        <v>17.951044537853498</v>
      </c>
      <c r="T382">
        <f>_xlfn.XLOOKUP(Table2[[#This Row],[First_egg_lay_date]],'19-20_niwa_temp_data'!B:B,'19-20_niwa_temp_data'!G:G, "No Match")</f>
        <v>18.110770276274835</v>
      </c>
    </row>
    <row r="383" spans="1:20" hidden="1" x14ac:dyDescent="0.35">
      <c r="A383" t="s">
        <v>9</v>
      </c>
      <c r="B383" t="s">
        <v>65</v>
      </c>
      <c r="C383" s="3" t="s">
        <v>154</v>
      </c>
      <c r="D383" t="str">
        <f>_xlfn.XLOOKUP(Table2[[#This Row],[Female_ID ]],'19-20_female_cohort'!I:I,'19-20_female_cohort'!H:H, "No Match")</f>
        <v>2015/2016</v>
      </c>
      <c r="E383">
        <v>4</v>
      </c>
      <c r="F383" s="11">
        <v>43798</v>
      </c>
      <c r="G383">
        <f>_xlfn.XLOOKUP(Table2[[#This Row],[First_egg_lay_date]],'19-20_niwa_temp_data'!B:B,'19-20_niwa_temp_data'!G:G, "No Match")</f>
        <v>18.110770276274835</v>
      </c>
      <c r="H383">
        <v>4</v>
      </c>
      <c r="I383" s="11">
        <v>43801</v>
      </c>
      <c r="J383">
        <f>_xlfn.XLOOKUP(Table2[[#This Row],[Nest_box_ID]],Sheet1!A:A,Sheet1!L:L, "No Match")</f>
        <v>0</v>
      </c>
      <c r="K383" s="11">
        <v>43816</v>
      </c>
      <c r="L383">
        <f>_xlfn.XLOOKUP(Table2[[#This Row],[Nest_box_ID]],Sheet1!A:A,Sheet1!K:K, "No Match")</f>
        <v>15</v>
      </c>
      <c r="M383" s="11">
        <v>43808</v>
      </c>
      <c r="N383" s="16">
        <v>0.4871064814814815</v>
      </c>
      <c r="O383">
        <v>7</v>
      </c>
      <c r="P383">
        <v>73</v>
      </c>
      <c r="Q383" t="s">
        <v>320</v>
      </c>
      <c r="R383">
        <v>2062</v>
      </c>
      <c r="S383">
        <f>_xlfn.XLOOKUP(Table2[[#This Row],[Obs_date]],'19-20_niwa_temp_data'!B:B,'19-20_niwa_temp_data'!G:G, "N/A")</f>
        <v>17.951044537853498</v>
      </c>
      <c r="T383">
        <f>_xlfn.XLOOKUP(Table2[[#This Row],[First_egg_lay_date]],'19-20_niwa_temp_data'!B:B,'19-20_niwa_temp_data'!G:G, "No Match")</f>
        <v>18.110770276274835</v>
      </c>
    </row>
    <row r="384" spans="1:20" hidden="1" x14ac:dyDescent="0.35">
      <c r="A384" t="s">
        <v>9</v>
      </c>
      <c r="B384" t="s">
        <v>65</v>
      </c>
      <c r="C384" s="3" t="s">
        <v>154</v>
      </c>
      <c r="D384" t="str">
        <f>_xlfn.XLOOKUP(Table2[[#This Row],[Female_ID ]],'19-20_female_cohort'!I:I,'19-20_female_cohort'!H:H, "No Match")</f>
        <v>2015/2016</v>
      </c>
      <c r="E384">
        <v>4</v>
      </c>
      <c r="F384" s="11">
        <v>43798</v>
      </c>
      <c r="G384">
        <f>_xlfn.XLOOKUP(Table2[[#This Row],[First_egg_lay_date]],'19-20_niwa_temp_data'!B:B,'19-20_niwa_temp_data'!G:G, "No Match")</f>
        <v>18.110770276274835</v>
      </c>
      <c r="H384">
        <v>4</v>
      </c>
      <c r="I384" s="11">
        <v>43801</v>
      </c>
      <c r="J384">
        <f>_xlfn.XLOOKUP(Table2[[#This Row],[Nest_box_ID]],Sheet1!A:A,Sheet1!L:L, "No Match")</f>
        <v>0</v>
      </c>
      <c r="K384" s="11">
        <v>43816</v>
      </c>
      <c r="L384">
        <f>_xlfn.XLOOKUP(Table2[[#This Row],[Nest_box_ID]],Sheet1!A:A,Sheet1!K:K, "No Match")</f>
        <v>15</v>
      </c>
      <c r="M384" s="11">
        <v>43808</v>
      </c>
      <c r="N384" s="16">
        <v>0.51097222222222227</v>
      </c>
      <c r="O384">
        <v>7</v>
      </c>
      <c r="P384">
        <v>73</v>
      </c>
      <c r="Q384" t="s">
        <v>319</v>
      </c>
      <c r="R384" t="s">
        <v>254</v>
      </c>
      <c r="S384">
        <f>_xlfn.XLOOKUP(Table2[[#This Row],[Obs_date]],'19-20_niwa_temp_data'!B:B,'19-20_niwa_temp_data'!G:G, "N/A")</f>
        <v>17.951044537853498</v>
      </c>
      <c r="T384">
        <f>_xlfn.XLOOKUP(Table2[[#This Row],[First_egg_lay_date]],'19-20_niwa_temp_data'!B:B,'19-20_niwa_temp_data'!G:G, "No Match")</f>
        <v>18.110770276274835</v>
      </c>
    </row>
    <row r="385" spans="1:20" hidden="1" x14ac:dyDescent="0.35">
      <c r="A385" t="s">
        <v>9</v>
      </c>
      <c r="B385" t="s">
        <v>22</v>
      </c>
      <c r="C385" s="3" t="s">
        <v>111</v>
      </c>
      <c r="D385" t="str">
        <f>_xlfn.XLOOKUP(Table2[[#This Row],[Female_ID ]],'19-20_female_cohort'!I:I,'19-20_female_cohort'!H:H, "No Match")</f>
        <v>2016/2017</v>
      </c>
      <c r="E385">
        <v>3</v>
      </c>
      <c r="F385" s="11">
        <v>43773</v>
      </c>
      <c r="G385">
        <f>_xlfn.XLOOKUP(Table2[[#This Row],[First_egg_lay_date]],'19-20_niwa_temp_data'!B:B,'19-20_niwa_temp_data'!G:G, "No Match")</f>
        <v>15.4</v>
      </c>
      <c r="H385">
        <v>4</v>
      </c>
      <c r="I385" s="11">
        <v>43776</v>
      </c>
      <c r="J385">
        <f>_xlfn.XLOOKUP(Table2[[#This Row],[Nest_box_ID]],Sheet1!A:A,Sheet1!L:L, "No Match")</f>
        <v>0</v>
      </c>
      <c r="K385" s="11">
        <v>43791</v>
      </c>
      <c r="L385">
        <f>_xlfn.XLOOKUP(Table2[[#This Row],[Nest_box_ID]],Sheet1!A:A,Sheet1!K:K, "No Match")</f>
        <v>15</v>
      </c>
      <c r="M385" s="11">
        <v>43777</v>
      </c>
      <c r="N385" s="16">
        <v>0.56180555555555556</v>
      </c>
      <c r="O385">
        <v>2</v>
      </c>
      <c r="P385">
        <v>149.43333329999999</v>
      </c>
      <c r="Q385" t="s">
        <v>320</v>
      </c>
      <c r="R385">
        <v>1565</v>
      </c>
      <c r="S385">
        <f>_xlfn.XLOOKUP(Table2[[#This Row],[Obs_date]],'19-20_niwa_temp_data'!B:B,'19-20_niwa_temp_data'!G:G, "N/A")</f>
        <v>16.736785832411194</v>
      </c>
      <c r="T385">
        <f>_xlfn.XLOOKUP(Table2[[#This Row],[First_egg_lay_date]],'19-20_niwa_temp_data'!B:B,'19-20_niwa_temp_data'!G:G, "No Match")</f>
        <v>15.4</v>
      </c>
    </row>
    <row r="386" spans="1:20" x14ac:dyDescent="0.35">
      <c r="A386" t="s">
        <v>9</v>
      </c>
      <c r="B386" t="s">
        <v>22</v>
      </c>
      <c r="C386" s="3" t="s">
        <v>111</v>
      </c>
      <c r="D386" t="str">
        <f>_xlfn.XLOOKUP(Table2[[#This Row],[Female_ID ]],'19-20_female_cohort'!I:I,'19-20_female_cohort'!H:H, "No Match")</f>
        <v>2016/2017</v>
      </c>
      <c r="E386">
        <v>3</v>
      </c>
      <c r="F386" s="11">
        <v>43773</v>
      </c>
      <c r="G386">
        <f>_xlfn.XLOOKUP(Table2[[#This Row],[First_egg_lay_date]],'19-20_niwa_temp_data'!B:B,'19-20_niwa_temp_data'!G:G, "No Match")</f>
        <v>15.4</v>
      </c>
      <c r="H386">
        <v>4</v>
      </c>
      <c r="I386" s="11">
        <v>43776</v>
      </c>
      <c r="J386">
        <f>_xlfn.XLOOKUP(Table2[[#This Row],[Nest_box_ID]],Sheet1!A:A,Sheet1!L:L, "No Match")</f>
        <v>0</v>
      </c>
      <c r="K386" s="11">
        <v>43791</v>
      </c>
      <c r="L386">
        <f>_xlfn.XLOOKUP(Table2[[#This Row],[Nest_box_ID]],Sheet1!A:A,Sheet1!K:K, "No Match")</f>
        <v>15</v>
      </c>
      <c r="M386" s="11">
        <v>43777</v>
      </c>
      <c r="N386" s="16">
        <v>0.57991898148148147</v>
      </c>
      <c r="O386">
        <v>2</v>
      </c>
      <c r="P386">
        <v>149.43333329999999</v>
      </c>
      <c r="Q386" t="s">
        <v>319</v>
      </c>
      <c r="R386">
        <v>310</v>
      </c>
      <c r="S386">
        <f>_xlfn.XLOOKUP(Table2[[#This Row],[Obs_date]],'19-20_niwa_temp_data'!B:B,'19-20_niwa_temp_data'!G:G, "N/A")</f>
        <v>16.736785832411194</v>
      </c>
      <c r="T386">
        <f>_xlfn.XLOOKUP(Table2[[#This Row],[First_egg_lay_date]],'19-20_niwa_temp_data'!B:B,'19-20_niwa_temp_data'!G:G, "No Match")</f>
        <v>15.4</v>
      </c>
    </row>
    <row r="387" spans="1:20" hidden="1" x14ac:dyDescent="0.35">
      <c r="A387" t="s">
        <v>9</v>
      </c>
      <c r="B387" t="s">
        <v>22</v>
      </c>
      <c r="C387" s="3" t="s">
        <v>111</v>
      </c>
      <c r="D387" t="str">
        <f>_xlfn.XLOOKUP(Table2[[#This Row],[Female_ID ]],'19-20_female_cohort'!I:I,'19-20_female_cohort'!H:H, "No Match")</f>
        <v>2016/2017</v>
      </c>
      <c r="E387">
        <v>3</v>
      </c>
      <c r="F387" s="11">
        <v>43773</v>
      </c>
      <c r="G387">
        <f>_xlfn.XLOOKUP(Table2[[#This Row],[First_egg_lay_date]],'19-20_niwa_temp_data'!B:B,'19-20_niwa_temp_data'!G:G, "No Match")</f>
        <v>15.4</v>
      </c>
      <c r="H387">
        <v>4</v>
      </c>
      <c r="I387" s="11">
        <v>43776</v>
      </c>
      <c r="J387">
        <f>_xlfn.XLOOKUP(Table2[[#This Row],[Nest_box_ID]],Sheet1!A:A,Sheet1!L:L, "No Match")</f>
        <v>0</v>
      </c>
      <c r="K387" s="11">
        <v>43791</v>
      </c>
      <c r="L387">
        <f>_xlfn.XLOOKUP(Table2[[#This Row],[Nest_box_ID]],Sheet1!A:A,Sheet1!K:K, "No Match")</f>
        <v>15</v>
      </c>
      <c r="M387" s="11">
        <v>43777</v>
      </c>
      <c r="N387" s="16">
        <v>0.5835069444444444</v>
      </c>
      <c r="O387">
        <v>2</v>
      </c>
      <c r="P387">
        <v>149.43333329999999</v>
      </c>
      <c r="Q387" t="s">
        <v>320</v>
      </c>
      <c r="R387">
        <v>1084</v>
      </c>
      <c r="S387">
        <f>_xlfn.XLOOKUP(Table2[[#This Row],[Obs_date]],'19-20_niwa_temp_data'!B:B,'19-20_niwa_temp_data'!G:G, "N/A")</f>
        <v>16.736785832411194</v>
      </c>
      <c r="T387">
        <f>_xlfn.XLOOKUP(Table2[[#This Row],[First_egg_lay_date]],'19-20_niwa_temp_data'!B:B,'19-20_niwa_temp_data'!G:G, "No Match")</f>
        <v>15.4</v>
      </c>
    </row>
    <row r="388" spans="1:20" x14ac:dyDescent="0.35">
      <c r="A388" t="s">
        <v>9</v>
      </c>
      <c r="B388" t="s">
        <v>22</v>
      </c>
      <c r="C388" s="3" t="s">
        <v>111</v>
      </c>
      <c r="D388" t="str">
        <f>_xlfn.XLOOKUP(Table2[[#This Row],[Female_ID ]],'19-20_female_cohort'!I:I,'19-20_female_cohort'!H:H, "No Match")</f>
        <v>2016/2017</v>
      </c>
      <c r="E388">
        <v>3</v>
      </c>
      <c r="F388" s="11">
        <v>43773</v>
      </c>
      <c r="G388">
        <f>_xlfn.XLOOKUP(Table2[[#This Row],[First_egg_lay_date]],'19-20_niwa_temp_data'!B:B,'19-20_niwa_temp_data'!G:G, "No Match")</f>
        <v>15.4</v>
      </c>
      <c r="H388">
        <v>4</v>
      </c>
      <c r="I388" s="11">
        <v>43776</v>
      </c>
      <c r="J388">
        <f>_xlfn.XLOOKUP(Table2[[#This Row],[Nest_box_ID]],Sheet1!A:A,Sheet1!L:L, "No Match")</f>
        <v>0</v>
      </c>
      <c r="K388" s="11">
        <v>43791</v>
      </c>
      <c r="L388">
        <f>_xlfn.XLOOKUP(Table2[[#This Row],[Nest_box_ID]],Sheet1!A:A,Sheet1!K:K, "No Match")</f>
        <v>15</v>
      </c>
      <c r="M388" s="11">
        <v>43777</v>
      </c>
      <c r="N388" s="16">
        <v>0.59605324074074073</v>
      </c>
      <c r="O388">
        <v>2</v>
      </c>
      <c r="P388">
        <v>149.43333329999999</v>
      </c>
      <c r="Q388" t="s">
        <v>319</v>
      </c>
      <c r="R388">
        <v>202</v>
      </c>
      <c r="S388">
        <f>_xlfn.XLOOKUP(Table2[[#This Row],[Obs_date]],'19-20_niwa_temp_data'!B:B,'19-20_niwa_temp_data'!G:G, "N/A")</f>
        <v>16.736785832411194</v>
      </c>
      <c r="T388">
        <f>_xlfn.XLOOKUP(Table2[[#This Row],[First_egg_lay_date]],'19-20_niwa_temp_data'!B:B,'19-20_niwa_temp_data'!G:G, "No Match")</f>
        <v>15.4</v>
      </c>
    </row>
    <row r="389" spans="1:20" hidden="1" x14ac:dyDescent="0.35">
      <c r="A389" t="s">
        <v>9</v>
      </c>
      <c r="B389" t="s">
        <v>22</v>
      </c>
      <c r="C389" s="3" t="s">
        <v>111</v>
      </c>
      <c r="D389" t="str">
        <f>_xlfn.XLOOKUP(Table2[[#This Row],[Female_ID ]],'19-20_female_cohort'!I:I,'19-20_female_cohort'!H:H, "No Match")</f>
        <v>2016/2017</v>
      </c>
      <c r="E389">
        <v>3</v>
      </c>
      <c r="F389" s="11">
        <v>43773</v>
      </c>
      <c r="G389">
        <f>_xlfn.XLOOKUP(Table2[[#This Row],[First_egg_lay_date]],'19-20_niwa_temp_data'!B:B,'19-20_niwa_temp_data'!G:G, "No Match")</f>
        <v>15.4</v>
      </c>
      <c r="H389">
        <v>4</v>
      </c>
      <c r="I389" s="11">
        <v>43776</v>
      </c>
      <c r="J389">
        <f>_xlfn.XLOOKUP(Table2[[#This Row],[Nest_box_ID]],Sheet1!A:A,Sheet1!L:L, "No Match")</f>
        <v>0</v>
      </c>
      <c r="K389" s="11">
        <v>43791</v>
      </c>
      <c r="L389">
        <f>_xlfn.XLOOKUP(Table2[[#This Row],[Nest_box_ID]],Sheet1!A:A,Sheet1!K:K, "No Match")</f>
        <v>15</v>
      </c>
      <c r="M389" s="11">
        <v>43777</v>
      </c>
      <c r="N389" s="16">
        <v>0.59839120370370369</v>
      </c>
      <c r="O389">
        <v>2</v>
      </c>
      <c r="P389">
        <v>149.43333329999999</v>
      </c>
      <c r="Q389" t="s">
        <v>320</v>
      </c>
      <c r="R389">
        <v>361</v>
      </c>
      <c r="S389">
        <f>_xlfn.XLOOKUP(Table2[[#This Row],[Obs_date]],'19-20_niwa_temp_data'!B:B,'19-20_niwa_temp_data'!G:G, "N/A")</f>
        <v>16.736785832411194</v>
      </c>
      <c r="T389">
        <f>_xlfn.XLOOKUP(Table2[[#This Row],[First_egg_lay_date]],'19-20_niwa_temp_data'!B:B,'19-20_niwa_temp_data'!G:G, "No Match")</f>
        <v>15.4</v>
      </c>
    </row>
    <row r="390" spans="1:20" x14ac:dyDescent="0.35">
      <c r="A390" t="s">
        <v>9</v>
      </c>
      <c r="B390" t="s">
        <v>22</v>
      </c>
      <c r="C390" s="3" t="s">
        <v>111</v>
      </c>
      <c r="D390" t="str">
        <f>_xlfn.XLOOKUP(Table2[[#This Row],[Female_ID ]],'19-20_female_cohort'!I:I,'19-20_female_cohort'!H:H, "No Match")</f>
        <v>2016/2017</v>
      </c>
      <c r="E390">
        <v>3</v>
      </c>
      <c r="F390" s="11">
        <v>43773</v>
      </c>
      <c r="G390">
        <f>_xlfn.XLOOKUP(Table2[[#This Row],[First_egg_lay_date]],'19-20_niwa_temp_data'!B:B,'19-20_niwa_temp_data'!G:G, "No Match")</f>
        <v>15.4</v>
      </c>
      <c r="H390">
        <v>4</v>
      </c>
      <c r="I390" s="11">
        <v>43776</v>
      </c>
      <c r="J390">
        <f>_xlfn.XLOOKUP(Table2[[#This Row],[Nest_box_ID]],Sheet1!A:A,Sheet1!L:L, "No Match")</f>
        <v>0</v>
      </c>
      <c r="K390" s="11">
        <v>43791</v>
      </c>
      <c r="L390">
        <f>_xlfn.XLOOKUP(Table2[[#This Row],[Nest_box_ID]],Sheet1!A:A,Sheet1!K:K, "No Match")</f>
        <v>15</v>
      </c>
      <c r="M390" s="11">
        <v>43777</v>
      </c>
      <c r="N390" s="16">
        <v>0.60256944444444449</v>
      </c>
      <c r="O390">
        <v>2</v>
      </c>
      <c r="P390">
        <v>149.43333329999999</v>
      </c>
      <c r="Q390" t="s">
        <v>319</v>
      </c>
      <c r="R390">
        <v>420</v>
      </c>
      <c r="S390">
        <f>_xlfn.XLOOKUP(Table2[[#This Row],[Obs_date]],'19-20_niwa_temp_data'!B:B,'19-20_niwa_temp_data'!G:G, "N/A")</f>
        <v>16.736785832411194</v>
      </c>
      <c r="T390">
        <f>_xlfn.XLOOKUP(Table2[[#This Row],[First_egg_lay_date]],'19-20_niwa_temp_data'!B:B,'19-20_niwa_temp_data'!G:G, "No Match")</f>
        <v>15.4</v>
      </c>
    </row>
    <row r="391" spans="1:20" hidden="1" x14ac:dyDescent="0.35">
      <c r="A391" t="s">
        <v>9</v>
      </c>
      <c r="B391" t="s">
        <v>22</v>
      </c>
      <c r="C391" s="3" t="s">
        <v>111</v>
      </c>
      <c r="D391" t="str">
        <f>_xlfn.XLOOKUP(Table2[[#This Row],[Female_ID ]],'19-20_female_cohort'!I:I,'19-20_female_cohort'!H:H, "No Match")</f>
        <v>2016/2017</v>
      </c>
      <c r="E391">
        <v>3</v>
      </c>
      <c r="F391" s="11">
        <v>43773</v>
      </c>
      <c r="G391">
        <f>_xlfn.XLOOKUP(Table2[[#This Row],[First_egg_lay_date]],'19-20_niwa_temp_data'!B:B,'19-20_niwa_temp_data'!G:G, "No Match")</f>
        <v>15.4</v>
      </c>
      <c r="H391">
        <v>4</v>
      </c>
      <c r="I391" s="11">
        <v>43776</v>
      </c>
      <c r="J391">
        <f>_xlfn.XLOOKUP(Table2[[#This Row],[Nest_box_ID]],Sheet1!A:A,Sheet1!L:L, "No Match")</f>
        <v>0</v>
      </c>
      <c r="K391" s="11">
        <v>43791</v>
      </c>
      <c r="L391">
        <f>_xlfn.XLOOKUP(Table2[[#This Row],[Nest_box_ID]],Sheet1!A:A,Sheet1!K:K, "No Match")</f>
        <v>15</v>
      </c>
      <c r="M391" s="11">
        <v>43777</v>
      </c>
      <c r="N391" s="16">
        <v>0.60743055555555558</v>
      </c>
      <c r="O391">
        <v>2</v>
      </c>
      <c r="P391">
        <v>149.43333329999999</v>
      </c>
      <c r="Q391" t="s">
        <v>320</v>
      </c>
      <c r="R391">
        <v>860</v>
      </c>
      <c r="S391">
        <f>_xlfn.XLOOKUP(Table2[[#This Row],[Obs_date]],'19-20_niwa_temp_data'!B:B,'19-20_niwa_temp_data'!G:G, "N/A")</f>
        <v>16.736785832411194</v>
      </c>
      <c r="T391">
        <f>_xlfn.XLOOKUP(Table2[[#This Row],[First_egg_lay_date]],'19-20_niwa_temp_data'!B:B,'19-20_niwa_temp_data'!G:G, "No Match")</f>
        <v>15.4</v>
      </c>
    </row>
    <row r="392" spans="1:20" hidden="1" x14ac:dyDescent="0.35">
      <c r="A392" t="s">
        <v>9</v>
      </c>
      <c r="B392" t="s">
        <v>22</v>
      </c>
      <c r="C392" s="3" t="s">
        <v>111</v>
      </c>
      <c r="D392" t="str">
        <f>_xlfn.XLOOKUP(Table2[[#This Row],[Female_ID ]],'19-20_female_cohort'!I:I,'19-20_female_cohort'!H:H, "No Match")</f>
        <v>2016/2017</v>
      </c>
      <c r="E392">
        <v>3</v>
      </c>
      <c r="F392" s="11">
        <v>43773</v>
      </c>
      <c r="G392">
        <f>_xlfn.XLOOKUP(Table2[[#This Row],[First_egg_lay_date]],'19-20_niwa_temp_data'!B:B,'19-20_niwa_temp_data'!G:G, "No Match")</f>
        <v>15.4</v>
      </c>
      <c r="H392">
        <v>4</v>
      </c>
      <c r="I392" s="11">
        <v>43776</v>
      </c>
      <c r="J392">
        <f>_xlfn.XLOOKUP(Table2[[#This Row],[Nest_box_ID]],Sheet1!A:A,Sheet1!L:L, "No Match")</f>
        <v>0</v>
      </c>
      <c r="K392" s="11">
        <v>43791</v>
      </c>
      <c r="L392">
        <f>_xlfn.XLOOKUP(Table2[[#This Row],[Nest_box_ID]],Sheet1!A:A,Sheet1!K:K, "No Match")</f>
        <v>15</v>
      </c>
      <c r="M392" s="11">
        <v>43777</v>
      </c>
      <c r="N392" s="16">
        <v>0.61738425925925922</v>
      </c>
      <c r="O392">
        <v>2</v>
      </c>
      <c r="P392">
        <v>149.43333329999999</v>
      </c>
      <c r="Q392" t="s">
        <v>320</v>
      </c>
      <c r="R392">
        <v>292</v>
      </c>
      <c r="S392">
        <f>_xlfn.XLOOKUP(Table2[[#This Row],[Obs_date]],'19-20_niwa_temp_data'!B:B,'19-20_niwa_temp_data'!G:G, "N/A")</f>
        <v>16.736785832411194</v>
      </c>
      <c r="T392">
        <f>_xlfn.XLOOKUP(Table2[[#This Row],[First_egg_lay_date]],'19-20_niwa_temp_data'!B:B,'19-20_niwa_temp_data'!G:G, "No Match")</f>
        <v>15.4</v>
      </c>
    </row>
    <row r="393" spans="1:20" x14ac:dyDescent="0.35">
      <c r="A393" t="s">
        <v>9</v>
      </c>
      <c r="B393" t="s">
        <v>22</v>
      </c>
      <c r="C393" s="3" t="s">
        <v>111</v>
      </c>
      <c r="D393" t="str">
        <f>_xlfn.XLOOKUP(Table2[[#This Row],[Female_ID ]],'19-20_female_cohort'!I:I,'19-20_female_cohort'!H:H, "No Match")</f>
        <v>2016/2017</v>
      </c>
      <c r="E393">
        <v>3</v>
      </c>
      <c r="F393" s="11">
        <v>43773</v>
      </c>
      <c r="G393">
        <f>_xlfn.XLOOKUP(Table2[[#This Row],[First_egg_lay_date]],'19-20_niwa_temp_data'!B:B,'19-20_niwa_temp_data'!G:G, "No Match")</f>
        <v>15.4</v>
      </c>
      <c r="H393">
        <v>4</v>
      </c>
      <c r="I393" s="11">
        <v>43776</v>
      </c>
      <c r="J393">
        <f>_xlfn.XLOOKUP(Table2[[#This Row],[Nest_box_ID]],Sheet1!A:A,Sheet1!L:L, "No Match")</f>
        <v>0</v>
      </c>
      <c r="K393" s="11">
        <v>43791</v>
      </c>
      <c r="L393">
        <f>_xlfn.XLOOKUP(Table2[[#This Row],[Nest_box_ID]],Sheet1!A:A,Sheet1!K:K, "No Match")</f>
        <v>15</v>
      </c>
      <c r="M393" s="11">
        <v>43777</v>
      </c>
      <c r="N393" s="16">
        <v>0.62076388888888889</v>
      </c>
      <c r="O393">
        <v>2</v>
      </c>
      <c r="P393">
        <v>149.43333329999999</v>
      </c>
      <c r="Q393" t="s">
        <v>319</v>
      </c>
      <c r="R393">
        <v>729</v>
      </c>
      <c r="S393">
        <f>_xlfn.XLOOKUP(Table2[[#This Row],[Obs_date]],'19-20_niwa_temp_data'!B:B,'19-20_niwa_temp_data'!G:G, "N/A")</f>
        <v>16.736785832411194</v>
      </c>
      <c r="T393">
        <f>_xlfn.XLOOKUP(Table2[[#This Row],[First_egg_lay_date]],'19-20_niwa_temp_data'!B:B,'19-20_niwa_temp_data'!G:G, "No Match")</f>
        <v>15.4</v>
      </c>
    </row>
    <row r="394" spans="1:20" hidden="1" x14ac:dyDescent="0.35">
      <c r="A394" t="s">
        <v>9</v>
      </c>
      <c r="B394" t="s">
        <v>22</v>
      </c>
      <c r="C394" s="3" t="s">
        <v>111</v>
      </c>
      <c r="D394" t="str">
        <f>_xlfn.XLOOKUP(Table2[[#This Row],[Female_ID ]],'19-20_female_cohort'!I:I,'19-20_female_cohort'!H:H, "No Match")</f>
        <v>2016/2017</v>
      </c>
      <c r="E394">
        <v>3</v>
      </c>
      <c r="F394" s="11">
        <v>43773</v>
      </c>
      <c r="G394">
        <f>_xlfn.XLOOKUP(Table2[[#This Row],[First_egg_lay_date]],'19-20_niwa_temp_data'!B:B,'19-20_niwa_temp_data'!G:G, "No Match")</f>
        <v>15.4</v>
      </c>
      <c r="H394">
        <v>4</v>
      </c>
      <c r="I394" s="11">
        <v>43776</v>
      </c>
      <c r="J394">
        <f>_xlfn.XLOOKUP(Table2[[#This Row],[Nest_box_ID]],Sheet1!A:A,Sheet1!L:L, "No Match")</f>
        <v>0</v>
      </c>
      <c r="K394" s="11">
        <v>43791</v>
      </c>
      <c r="L394">
        <f>_xlfn.XLOOKUP(Table2[[#This Row],[Nest_box_ID]],Sheet1!A:A,Sheet1!K:K, "No Match")</f>
        <v>15</v>
      </c>
      <c r="M394" s="11">
        <v>43777</v>
      </c>
      <c r="N394" s="16">
        <v>0.62920138888888888</v>
      </c>
      <c r="O394">
        <v>2</v>
      </c>
      <c r="P394">
        <v>149.43333329999999</v>
      </c>
      <c r="Q394" t="s">
        <v>320</v>
      </c>
      <c r="R394">
        <v>237</v>
      </c>
      <c r="S394">
        <f>_xlfn.XLOOKUP(Table2[[#This Row],[Obs_date]],'19-20_niwa_temp_data'!B:B,'19-20_niwa_temp_data'!G:G, "N/A")</f>
        <v>16.736785832411194</v>
      </c>
      <c r="T394">
        <f>_xlfn.XLOOKUP(Table2[[#This Row],[First_egg_lay_date]],'19-20_niwa_temp_data'!B:B,'19-20_niwa_temp_data'!G:G, "No Match")</f>
        <v>15.4</v>
      </c>
    </row>
    <row r="395" spans="1:20" hidden="1" x14ac:dyDescent="0.35">
      <c r="A395" t="s">
        <v>9</v>
      </c>
      <c r="B395" t="s">
        <v>22</v>
      </c>
      <c r="C395" s="3" t="s">
        <v>111</v>
      </c>
      <c r="D395" t="str">
        <f>_xlfn.XLOOKUP(Table2[[#This Row],[Female_ID ]],'19-20_female_cohort'!I:I,'19-20_female_cohort'!H:H, "No Match")</f>
        <v>2016/2017</v>
      </c>
      <c r="E395">
        <v>3</v>
      </c>
      <c r="F395" s="11">
        <v>43773</v>
      </c>
      <c r="G395">
        <f>_xlfn.XLOOKUP(Table2[[#This Row],[First_egg_lay_date]],'19-20_niwa_temp_data'!B:B,'19-20_niwa_temp_data'!G:G, "No Match")</f>
        <v>15.4</v>
      </c>
      <c r="H395">
        <v>4</v>
      </c>
      <c r="I395" s="11">
        <v>43776</v>
      </c>
      <c r="J395">
        <f>_xlfn.XLOOKUP(Table2[[#This Row],[Nest_box_ID]],Sheet1!A:A,Sheet1!L:L, "No Match")</f>
        <v>0</v>
      </c>
      <c r="K395" s="11">
        <v>43791</v>
      </c>
      <c r="L395">
        <f>_xlfn.XLOOKUP(Table2[[#This Row],[Nest_box_ID]],Sheet1!A:A,Sheet1!K:K, "No Match")</f>
        <v>15</v>
      </c>
      <c r="M395" s="11">
        <v>43777</v>
      </c>
      <c r="N395" s="16">
        <v>0.63194444444444442</v>
      </c>
      <c r="O395">
        <v>2</v>
      </c>
      <c r="P395">
        <v>149.43333329999999</v>
      </c>
      <c r="Q395" t="s">
        <v>320</v>
      </c>
      <c r="R395">
        <v>303</v>
      </c>
      <c r="S395">
        <f>_xlfn.XLOOKUP(Table2[[#This Row],[Obs_date]],'19-20_niwa_temp_data'!B:B,'19-20_niwa_temp_data'!G:G, "N/A")</f>
        <v>16.736785832411194</v>
      </c>
      <c r="T395">
        <f>_xlfn.XLOOKUP(Table2[[#This Row],[First_egg_lay_date]],'19-20_niwa_temp_data'!B:B,'19-20_niwa_temp_data'!G:G, "No Match")</f>
        <v>15.4</v>
      </c>
    </row>
    <row r="396" spans="1:20" x14ac:dyDescent="0.35">
      <c r="A396" t="s">
        <v>9</v>
      </c>
      <c r="B396" t="s">
        <v>22</v>
      </c>
      <c r="C396" s="3" t="s">
        <v>111</v>
      </c>
      <c r="D396" t="str">
        <f>_xlfn.XLOOKUP(Table2[[#This Row],[Female_ID ]],'19-20_female_cohort'!I:I,'19-20_female_cohort'!H:H, "No Match")</f>
        <v>2016/2017</v>
      </c>
      <c r="E396">
        <v>3</v>
      </c>
      <c r="F396" s="11">
        <v>43773</v>
      </c>
      <c r="G396">
        <f>_xlfn.XLOOKUP(Table2[[#This Row],[First_egg_lay_date]],'19-20_niwa_temp_data'!B:B,'19-20_niwa_temp_data'!G:G, "No Match")</f>
        <v>15.4</v>
      </c>
      <c r="H396">
        <v>4</v>
      </c>
      <c r="I396" s="11">
        <v>43776</v>
      </c>
      <c r="J396">
        <f>_xlfn.XLOOKUP(Table2[[#This Row],[Nest_box_ID]],Sheet1!A:A,Sheet1!L:L, "No Match")</f>
        <v>0</v>
      </c>
      <c r="K396" s="11">
        <v>43791</v>
      </c>
      <c r="L396">
        <f>_xlfn.XLOOKUP(Table2[[#This Row],[Nest_box_ID]],Sheet1!A:A,Sheet1!K:K, "No Match")</f>
        <v>15</v>
      </c>
      <c r="M396" s="11">
        <v>43777</v>
      </c>
      <c r="N396" s="16">
        <v>0.63545138888888886</v>
      </c>
      <c r="O396">
        <v>2</v>
      </c>
      <c r="P396">
        <v>149.43333329999999</v>
      </c>
      <c r="Q396" t="s">
        <v>319</v>
      </c>
      <c r="R396">
        <v>358</v>
      </c>
      <c r="S396">
        <f>_xlfn.XLOOKUP(Table2[[#This Row],[Obs_date]],'19-20_niwa_temp_data'!B:B,'19-20_niwa_temp_data'!G:G, "N/A")</f>
        <v>16.736785832411194</v>
      </c>
      <c r="T396">
        <f>_xlfn.XLOOKUP(Table2[[#This Row],[First_egg_lay_date]],'19-20_niwa_temp_data'!B:B,'19-20_niwa_temp_data'!G:G, "No Match")</f>
        <v>15.4</v>
      </c>
    </row>
    <row r="397" spans="1:20" hidden="1" x14ac:dyDescent="0.35">
      <c r="A397" t="s">
        <v>9</v>
      </c>
      <c r="B397" t="s">
        <v>22</v>
      </c>
      <c r="C397" s="3" t="s">
        <v>111</v>
      </c>
      <c r="D397" t="str">
        <f>_xlfn.XLOOKUP(Table2[[#This Row],[Female_ID ]],'19-20_female_cohort'!I:I,'19-20_female_cohort'!H:H, "No Match")</f>
        <v>2016/2017</v>
      </c>
      <c r="E397">
        <v>3</v>
      </c>
      <c r="F397" s="11">
        <v>43773</v>
      </c>
      <c r="G397">
        <f>_xlfn.XLOOKUP(Table2[[#This Row],[First_egg_lay_date]],'19-20_niwa_temp_data'!B:B,'19-20_niwa_temp_data'!G:G, "No Match")</f>
        <v>15.4</v>
      </c>
      <c r="H397">
        <v>4</v>
      </c>
      <c r="I397" s="11">
        <v>43776</v>
      </c>
      <c r="J397">
        <f>_xlfn.XLOOKUP(Table2[[#This Row],[Nest_box_ID]],Sheet1!A:A,Sheet1!L:L, "No Match")</f>
        <v>0</v>
      </c>
      <c r="K397" s="11">
        <v>43791</v>
      </c>
      <c r="L397">
        <f>_xlfn.XLOOKUP(Table2[[#This Row],[Nest_box_ID]],Sheet1!A:A,Sheet1!K:K, "No Match")</f>
        <v>15</v>
      </c>
      <c r="M397" s="11">
        <v>43777</v>
      </c>
      <c r="N397" s="16">
        <v>0.63959490740740743</v>
      </c>
      <c r="O397">
        <v>2</v>
      </c>
      <c r="P397">
        <v>149.43333329999999</v>
      </c>
      <c r="Q397" t="s">
        <v>320</v>
      </c>
      <c r="R397">
        <v>678</v>
      </c>
      <c r="S397">
        <f>_xlfn.XLOOKUP(Table2[[#This Row],[Obs_date]],'19-20_niwa_temp_data'!B:B,'19-20_niwa_temp_data'!G:G, "N/A")</f>
        <v>16.736785832411194</v>
      </c>
      <c r="T397">
        <f>_xlfn.XLOOKUP(Table2[[#This Row],[First_egg_lay_date]],'19-20_niwa_temp_data'!B:B,'19-20_niwa_temp_data'!G:G, "No Match")</f>
        <v>15.4</v>
      </c>
    </row>
    <row r="398" spans="1:20" x14ac:dyDescent="0.35">
      <c r="A398" t="s">
        <v>9</v>
      </c>
      <c r="B398" t="s">
        <v>22</v>
      </c>
      <c r="C398" s="3" t="s">
        <v>111</v>
      </c>
      <c r="D398" t="str">
        <f>_xlfn.XLOOKUP(Table2[[#This Row],[Female_ID ]],'19-20_female_cohort'!I:I,'19-20_female_cohort'!H:H, "No Match")</f>
        <v>2016/2017</v>
      </c>
      <c r="E398">
        <v>3</v>
      </c>
      <c r="F398" s="11">
        <v>43773</v>
      </c>
      <c r="G398">
        <f>_xlfn.XLOOKUP(Table2[[#This Row],[First_egg_lay_date]],'19-20_niwa_temp_data'!B:B,'19-20_niwa_temp_data'!G:G, "No Match")</f>
        <v>15.4</v>
      </c>
      <c r="H398">
        <v>4</v>
      </c>
      <c r="I398" s="11">
        <v>43776</v>
      </c>
      <c r="J398">
        <f>_xlfn.XLOOKUP(Table2[[#This Row],[Nest_box_ID]],Sheet1!A:A,Sheet1!L:L, "No Match")</f>
        <v>0</v>
      </c>
      <c r="K398" s="11">
        <v>43791</v>
      </c>
      <c r="L398">
        <f>_xlfn.XLOOKUP(Table2[[#This Row],[Nest_box_ID]],Sheet1!A:A,Sheet1!K:K, "No Match")</f>
        <v>15</v>
      </c>
      <c r="M398" s="11">
        <v>43777</v>
      </c>
      <c r="N398" s="16">
        <v>0.64744212962962966</v>
      </c>
      <c r="O398">
        <v>2</v>
      </c>
      <c r="P398">
        <v>149.43333329999999</v>
      </c>
      <c r="Q398" t="s">
        <v>319</v>
      </c>
      <c r="R398">
        <v>397</v>
      </c>
      <c r="S398">
        <f>_xlfn.XLOOKUP(Table2[[#This Row],[Obs_date]],'19-20_niwa_temp_data'!B:B,'19-20_niwa_temp_data'!G:G, "N/A")</f>
        <v>16.736785832411194</v>
      </c>
      <c r="T398">
        <f>_xlfn.XLOOKUP(Table2[[#This Row],[First_egg_lay_date]],'19-20_niwa_temp_data'!B:B,'19-20_niwa_temp_data'!G:G, "No Match")</f>
        <v>15.4</v>
      </c>
    </row>
    <row r="399" spans="1:20" hidden="1" x14ac:dyDescent="0.35">
      <c r="A399" t="s">
        <v>9</v>
      </c>
      <c r="B399" t="s">
        <v>22</v>
      </c>
      <c r="C399" s="3" t="s">
        <v>111</v>
      </c>
      <c r="D399" t="str">
        <f>_xlfn.XLOOKUP(Table2[[#This Row],[Female_ID ]],'19-20_female_cohort'!I:I,'19-20_female_cohort'!H:H, "No Match")</f>
        <v>2016/2017</v>
      </c>
      <c r="E399">
        <v>3</v>
      </c>
      <c r="F399" s="11">
        <v>43773</v>
      </c>
      <c r="G399">
        <f>_xlfn.XLOOKUP(Table2[[#This Row],[First_egg_lay_date]],'19-20_niwa_temp_data'!B:B,'19-20_niwa_temp_data'!G:G, "No Match")</f>
        <v>15.4</v>
      </c>
      <c r="H399">
        <v>4</v>
      </c>
      <c r="I399" s="11">
        <v>43776</v>
      </c>
      <c r="J399">
        <f>_xlfn.XLOOKUP(Table2[[#This Row],[Nest_box_ID]],Sheet1!A:A,Sheet1!L:L, "No Match")</f>
        <v>0</v>
      </c>
      <c r="K399" s="11">
        <v>43791</v>
      </c>
      <c r="L399">
        <f>_xlfn.XLOOKUP(Table2[[#This Row],[Nest_box_ID]],Sheet1!A:A,Sheet1!K:K, "No Match")</f>
        <v>15</v>
      </c>
      <c r="M399" s="11">
        <v>43777</v>
      </c>
      <c r="N399" s="16">
        <v>0.65203703703703708</v>
      </c>
      <c r="O399">
        <v>2</v>
      </c>
      <c r="P399">
        <v>149.43333329999999</v>
      </c>
      <c r="Q399" t="s">
        <v>320</v>
      </c>
      <c r="R399">
        <v>127</v>
      </c>
      <c r="S399">
        <f>_xlfn.XLOOKUP(Table2[[#This Row],[Obs_date]],'19-20_niwa_temp_data'!B:B,'19-20_niwa_temp_data'!G:G, "N/A")</f>
        <v>16.736785832411194</v>
      </c>
      <c r="T399">
        <f>_xlfn.XLOOKUP(Table2[[#This Row],[First_egg_lay_date]],'19-20_niwa_temp_data'!B:B,'19-20_niwa_temp_data'!G:G, "No Match")</f>
        <v>15.4</v>
      </c>
    </row>
    <row r="400" spans="1:20" x14ac:dyDescent="0.35">
      <c r="A400" t="s">
        <v>9</v>
      </c>
      <c r="B400" t="s">
        <v>22</v>
      </c>
      <c r="C400" s="3" t="s">
        <v>111</v>
      </c>
      <c r="D400" t="str">
        <f>_xlfn.XLOOKUP(Table2[[#This Row],[Female_ID ]],'19-20_female_cohort'!I:I,'19-20_female_cohort'!H:H, "No Match")</f>
        <v>2016/2017</v>
      </c>
      <c r="E400">
        <v>3</v>
      </c>
      <c r="F400" s="11">
        <v>43773</v>
      </c>
      <c r="G400">
        <f>_xlfn.XLOOKUP(Table2[[#This Row],[First_egg_lay_date]],'19-20_niwa_temp_data'!B:B,'19-20_niwa_temp_data'!G:G, "No Match")</f>
        <v>15.4</v>
      </c>
      <c r="H400">
        <v>4</v>
      </c>
      <c r="I400" s="11">
        <v>43776</v>
      </c>
      <c r="J400">
        <f>_xlfn.XLOOKUP(Table2[[#This Row],[Nest_box_ID]],Sheet1!A:A,Sheet1!L:L, "No Match")</f>
        <v>0</v>
      </c>
      <c r="K400" s="11">
        <v>43791</v>
      </c>
      <c r="L400">
        <f>_xlfn.XLOOKUP(Table2[[#This Row],[Nest_box_ID]],Sheet1!A:A,Sheet1!K:K, "No Match")</f>
        <v>15</v>
      </c>
      <c r="M400" s="11">
        <v>43777</v>
      </c>
      <c r="N400" s="16">
        <v>0.65350694444444446</v>
      </c>
      <c r="O400">
        <v>2</v>
      </c>
      <c r="P400">
        <v>149.43333329999999</v>
      </c>
      <c r="Q400" t="s">
        <v>319</v>
      </c>
      <c r="R400">
        <v>115</v>
      </c>
      <c r="S400">
        <f>_xlfn.XLOOKUP(Table2[[#This Row],[Obs_date]],'19-20_niwa_temp_data'!B:B,'19-20_niwa_temp_data'!G:G, "N/A")</f>
        <v>16.736785832411194</v>
      </c>
      <c r="T400">
        <f>_xlfn.XLOOKUP(Table2[[#This Row],[First_egg_lay_date]],'19-20_niwa_temp_data'!B:B,'19-20_niwa_temp_data'!G:G, "No Match")</f>
        <v>15.4</v>
      </c>
    </row>
    <row r="401" spans="1:20" hidden="1" x14ac:dyDescent="0.35">
      <c r="A401" t="s">
        <v>9</v>
      </c>
      <c r="B401" t="s">
        <v>22</v>
      </c>
      <c r="C401" s="3" t="s">
        <v>111</v>
      </c>
      <c r="D401" t="str">
        <f>_xlfn.XLOOKUP(Table2[[#This Row],[Female_ID ]],'19-20_female_cohort'!I:I,'19-20_female_cohort'!H:H, "No Match")</f>
        <v>2016/2017</v>
      </c>
      <c r="E401">
        <v>3</v>
      </c>
      <c r="F401" s="11">
        <v>43773</v>
      </c>
      <c r="G401">
        <f>_xlfn.XLOOKUP(Table2[[#This Row],[First_egg_lay_date]],'19-20_niwa_temp_data'!B:B,'19-20_niwa_temp_data'!G:G, "No Match")</f>
        <v>15.4</v>
      </c>
      <c r="H401">
        <v>4</v>
      </c>
      <c r="I401" s="11">
        <v>43776</v>
      </c>
      <c r="J401">
        <f>_xlfn.XLOOKUP(Table2[[#This Row],[Nest_box_ID]],Sheet1!A:A,Sheet1!L:L, "No Match")</f>
        <v>0</v>
      </c>
      <c r="K401" s="11">
        <v>43791</v>
      </c>
      <c r="L401">
        <f>_xlfn.XLOOKUP(Table2[[#This Row],[Nest_box_ID]],Sheet1!A:A,Sheet1!K:K, "No Match")</f>
        <v>15</v>
      </c>
      <c r="M401" s="11">
        <v>43777</v>
      </c>
      <c r="N401" s="16">
        <v>0.65483796296296293</v>
      </c>
      <c r="O401">
        <v>2</v>
      </c>
      <c r="P401">
        <v>149.43333329999999</v>
      </c>
      <c r="Q401" t="s">
        <v>320</v>
      </c>
      <c r="R401">
        <v>928</v>
      </c>
      <c r="S401">
        <f>_xlfn.XLOOKUP(Table2[[#This Row],[Obs_date]],'19-20_niwa_temp_data'!B:B,'19-20_niwa_temp_data'!G:G, "N/A")</f>
        <v>16.736785832411194</v>
      </c>
      <c r="T401">
        <f>_xlfn.XLOOKUP(Table2[[#This Row],[First_egg_lay_date]],'19-20_niwa_temp_data'!B:B,'19-20_niwa_temp_data'!G:G, "No Match")</f>
        <v>15.4</v>
      </c>
    </row>
    <row r="402" spans="1:20" hidden="1" x14ac:dyDescent="0.35">
      <c r="A402" t="s">
        <v>9</v>
      </c>
      <c r="B402" t="s">
        <v>22</v>
      </c>
      <c r="C402" s="3" t="s">
        <v>111</v>
      </c>
      <c r="D402" t="str">
        <f>_xlfn.XLOOKUP(Table2[[#This Row],[Female_ID ]],'19-20_female_cohort'!I:I,'19-20_female_cohort'!H:H, "No Match")</f>
        <v>2016/2017</v>
      </c>
      <c r="E402">
        <v>3</v>
      </c>
      <c r="F402" s="11">
        <v>43773</v>
      </c>
      <c r="G402">
        <f>_xlfn.XLOOKUP(Table2[[#This Row],[First_egg_lay_date]],'19-20_niwa_temp_data'!B:B,'19-20_niwa_temp_data'!G:G, "No Match")</f>
        <v>15.4</v>
      </c>
      <c r="H402">
        <v>4</v>
      </c>
      <c r="I402" s="11">
        <v>43776</v>
      </c>
      <c r="J402">
        <f>_xlfn.XLOOKUP(Table2[[#This Row],[Nest_box_ID]],Sheet1!A:A,Sheet1!L:L, "No Match")</f>
        <v>0</v>
      </c>
      <c r="K402" s="11">
        <v>43791</v>
      </c>
      <c r="L402">
        <f>_xlfn.XLOOKUP(Table2[[#This Row],[Nest_box_ID]],Sheet1!A:A,Sheet1!K:K, "No Match")</f>
        <v>15</v>
      </c>
      <c r="M402" s="11">
        <v>43777</v>
      </c>
      <c r="N402" s="16">
        <v>0.66557870370370376</v>
      </c>
      <c r="O402">
        <v>2</v>
      </c>
      <c r="P402">
        <v>149.43333329999999</v>
      </c>
      <c r="Q402" t="s">
        <v>319</v>
      </c>
      <c r="R402" t="s">
        <v>254</v>
      </c>
      <c r="S402">
        <f>_xlfn.XLOOKUP(Table2[[#This Row],[Obs_date]],'19-20_niwa_temp_data'!B:B,'19-20_niwa_temp_data'!G:G, "N/A")</f>
        <v>16.736785832411194</v>
      </c>
      <c r="T402">
        <f>_xlfn.XLOOKUP(Table2[[#This Row],[First_egg_lay_date]],'19-20_niwa_temp_data'!B:B,'19-20_niwa_temp_data'!G:G, "No Match")</f>
        <v>15.4</v>
      </c>
    </row>
    <row r="403" spans="1:20" x14ac:dyDescent="0.35">
      <c r="A403" t="s">
        <v>9</v>
      </c>
      <c r="B403" t="s">
        <v>22</v>
      </c>
      <c r="C403" s="3" t="s">
        <v>111</v>
      </c>
      <c r="D403" t="str">
        <f>_xlfn.XLOOKUP(Table2[[#This Row],[Female_ID ]],'19-20_female_cohort'!I:I,'19-20_female_cohort'!H:H, "No Match")</f>
        <v>2016/2017</v>
      </c>
      <c r="E403">
        <v>3</v>
      </c>
      <c r="F403" s="11">
        <v>43773</v>
      </c>
      <c r="G403">
        <f>_xlfn.XLOOKUP(Table2[[#This Row],[First_egg_lay_date]],'19-20_niwa_temp_data'!B:B,'19-20_niwa_temp_data'!G:G, "No Match")</f>
        <v>15.4</v>
      </c>
      <c r="H403">
        <v>4</v>
      </c>
      <c r="I403" s="11">
        <v>43776</v>
      </c>
      <c r="J403">
        <f>_xlfn.XLOOKUP(Table2[[#This Row],[Nest_box_ID]],Sheet1!A:A,Sheet1!L:L, "No Match")</f>
        <v>0</v>
      </c>
      <c r="K403" s="11">
        <v>43791</v>
      </c>
      <c r="L403">
        <f>_xlfn.XLOOKUP(Table2[[#This Row],[Nest_box_ID]],Sheet1!A:A,Sheet1!K:K, "No Match")</f>
        <v>15</v>
      </c>
      <c r="M403" s="11">
        <v>43777</v>
      </c>
      <c r="N403" s="16">
        <v>0.57991898148148147</v>
      </c>
      <c r="O403">
        <v>1</v>
      </c>
      <c r="P403">
        <v>149.43333329999999</v>
      </c>
      <c r="Q403" t="s">
        <v>319</v>
      </c>
      <c r="R403">
        <v>310</v>
      </c>
      <c r="S403">
        <f>_xlfn.XLOOKUP(Table2[[#This Row],[Obs_date]],'19-20_niwa_temp_data'!B:B,'19-20_niwa_temp_data'!G:G, "N/A")</f>
        <v>16.736785832411194</v>
      </c>
      <c r="T403">
        <f>_xlfn.XLOOKUP(Table2[[#This Row],[First_egg_lay_date]],'19-20_niwa_temp_data'!B:B,'19-20_niwa_temp_data'!G:G, "No Match")</f>
        <v>15.4</v>
      </c>
    </row>
    <row r="404" spans="1:20" hidden="1" x14ac:dyDescent="0.35">
      <c r="A404" t="s">
        <v>9</v>
      </c>
      <c r="B404" t="s">
        <v>22</v>
      </c>
      <c r="C404" s="3" t="s">
        <v>111</v>
      </c>
      <c r="D404" t="str">
        <f>_xlfn.XLOOKUP(Table2[[#This Row],[Female_ID ]],'19-20_female_cohort'!I:I,'19-20_female_cohort'!H:H, "No Match")</f>
        <v>2016/2017</v>
      </c>
      <c r="E404">
        <v>3</v>
      </c>
      <c r="F404" s="11">
        <v>43773</v>
      </c>
      <c r="G404">
        <f>_xlfn.XLOOKUP(Table2[[#This Row],[First_egg_lay_date]],'19-20_niwa_temp_data'!B:B,'19-20_niwa_temp_data'!G:G, "No Match")</f>
        <v>15.4</v>
      </c>
      <c r="H404">
        <v>4</v>
      </c>
      <c r="I404" s="11">
        <v>43776</v>
      </c>
      <c r="J404">
        <f>_xlfn.XLOOKUP(Table2[[#This Row],[Nest_box_ID]],Sheet1!A:A,Sheet1!L:L, "No Match")</f>
        <v>0</v>
      </c>
      <c r="K404" s="11">
        <v>43791</v>
      </c>
      <c r="L404">
        <f>_xlfn.XLOOKUP(Table2[[#This Row],[Nest_box_ID]],Sheet1!A:A,Sheet1!K:K, "No Match")</f>
        <v>15</v>
      </c>
      <c r="M404" s="11">
        <v>43777</v>
      </c>
      <c r="N404" s="16">
        <v>0.5835069444444444</v>
      </c>
      <c r="O404">
        <v>1</v>
      </c>
      <c r="P404">
        <v>149.43333329999999</v>
      </c>
      <c r="Q404" t="s">
        <v>320</v>
      </c>
      <c r="R404">
        <v>1084</v>
      </c>
      <c r="S404">
        <f>_xlfn.XLOOKUP(Table2[[#This Row],[Obs_date]],'19-20_niwa_temp_data'!B:B,'19-20_niwa_temp_data'!G:G, "N/A")</f>
        <v>16.736785832411194</v>
      </c>
      <c r="T404">
        <f>_xlfn.XLOOKUP(Table2[[#This Row],[First_egg_lay_date]],'19-20_niwa_temp_data'!B:B,'19-20_niwa_temp_data'!G:G, "No Match")</f>
        <v>15.4</v>
      </c>
    </row>
    <row r="405" spans="1:20" x14ac:dyDescent="0.35">
      <c r="A405" t="s">
        <v>9</v>
      </c>
      <c r="B405" t="s">
        <v>22</v>
      </c>
      <c r="C405" s="3" t="s">
        <v>111</v>
      </c>
      <c r="D405" t="str">
        <f>_xlfn.XLOOKUP(Table2[[#This Row],[Female_ID ]],'19-20_female_cohort'!I:I,'19-20_female_cohort'!H:H, "No Match")</f>
        <v>2016/2017</v>
      </c>
      <c r="E405">
        <v>3</v>
      </c>
      <c r="F405" s="11">
        <v>43773</v>
      </c>
      <c r="G405">
        <f>_xlfn.XLOOKUP(Table2[[#This Row],[First_egg_lay_date]],'19-20_niwa_temp_data'!B:B,'19-20_niwa_temp_data'!G:G, "No Match")</f>
        <v>15.4</v>
      </c>
      <c r="H405">
        <v>4</v>
      </c>
      <c r="I405" s="11">
        <v>43776</v>
      </c>
      <c r="J405">
        <f>_xlfn.XLOOKUP(Table2[[#This Row],[Nest_box_ID]],Sheet1!A:A,Sheet1!L:L, "No Match")</f>
        <v>0</v>
      </c>
      <c r="K405" s="11">
        <v>43791</v>
      </c>
      <c r="L405">
        <f>_xlfn.XLOOKUP(Table2[[#This Row],[Nest_box_ID]],Sheet1!A:A,Sheet1!K:K, "No Match")</f>
        <v>15</v>
      </c>
      <c r="M405" s="11">
        <v>43777</v>
      </c>
      <c r="N405" s="16">
        <v>0.59605324074074073</v>
      </c>
      <c r="O405">
        <v>1</v>
      </c>
      <c r="P405">
        <v>149.43333329999999</v>
      </c>
      <c r="Q405" t="s">
        <v>319</v>
      </c>
      <c r="R405">
        <v>210</v>
      </c>
      <c r="S405">
        <f>_xlfn.XLOOKUP(Table2[[#This Row],[Obs_date]],'19-20_niwa_temp_data'!B:B,'19-20_niwa_temp_data'!G:G, "N/A")</f>
        <v>16.736785832411194</v>
      </c>
      <c r="T405">
        <f>_xlfn.XLOOKUP(Table2[[#This Row],[First_egg_lay_date]],'19-20_niwa_temp_data'!B:B,'19-20_niwa_temp_data'!G:G, "No Match")</f>
        <v>15.4</v>
      </c>
    </row>
    <row r="406" spans="1:20" hidden="1" x14ac:dyDescent="0.35">
      <c r="A406" t="s">
        <v>9</v>
      </c>
      <c r="B406" t="s">
        <v>22</v>
      </c>
      <c r="C406" s="3" t="s">
        <v>111</v>
      </c>
      <c r="D406" t="str">
        <f>_xlfn.XLOOKUP(Table2[[#This Row],[Female_ID ]],'19-20_female_cohort'!I:I,'19-20_female_cohort'!H:H, "No Match")</f>
        <v>2016/2017</v>
      </c>
      <c r="E406">
        <v>3</v>
      </c>
      <c r="F406" s="11">
        <v>43773</v>
      </c>
      <c r="G406">
        <f>_xlfn.XLOOKUP(Table2[[#This Row],[First_egg_lay_date]],'19-20_niwa_temp_data'!B:B,'19-20_niwa_temp_data'!G:G, "No Match")</f>
        <v>15.4</v>
      </c>
      <c r="H406">
        <v>4</v>
      </c>
      <c r="I406" s="11">
        <v>43776</v>
      </c>
      <c r="J406">
        <f>_xlfn.XLOOKUP(Table2[[#This Row],[Nest_box_ID]],Sheet1!A:A,Sheet1!L:L, "No Match")</f>
        <v>0</v>
      </c>
      <c r="K406" s="11">
        <v>43791</v>
      </c>
      <c r="L406">
        <f>_xlfn.XLOOKUP(Table2[[#This Row],[Nest_box_ID]],Sheet1!A:A,Sheet1!K:K, "No Match")</f>
        <v>15</v>
      </c>
      <c r="M406" s="11">
        <v>43777</v>
      </c>
      <c r="N406" s="16">
        <v>0.59848379629629633</v>
      </c>
      <c r="O406">
        <v>1</v>
      </c>
      <c r="P406">
        <v>149.43333329999999</v>
      </c>
      <c r="Q406" t="s">
        <v>320</v>
      </c>
      <c r="R406">
        <v>353</v>
      </c>
      <c r="S406">
        <f>_xlfn.XLOOKUP(Table2[[#This Row],[Obs_date]],'19-20_niwa_temp_data'!B:B,'19-20_niwa_temp_data'!G:G, "N/A")</f>
        <v>16.736785832411194</v>
      </c>
      <c r="T406">
        <f>_xlfn.XLOOKUP(Table2[[#This Row],[First_egg_lay_date]],'19-20_niwa_temp_data'!B:B,'19-20_niwa_temp_data'!G:G, "No Match")</f>
        <v>15.4</v>
      </c>
    </row>
    <row r="407" spans="1:20" x14ac:dyDescent="0.35">
      <c r="A407" t="s">
        <v>9</v>
      </c>
      <c r="B407" t="s">
        <v>22</v>
      </c>
      <c r="C407" s="3" t="s">
        <v>111</v>
      </c>
      <c r="D407" t="str">
        <f>_xlfn.XLOOKUP(Table2[[#This Row],[Female_ID ]],'19-20_female_cohort'!I:I,'19-20_female_cohort'!H:H, "No Match")</f>
        <v>2016/2017</v>
      </c>
      <c r="E407">
        <v>3</v>
      </c>
      <c r="F407" s="11">
        <v>43773</v>
      </c>
      <c r="G407">
        <f>_xlfn.XLOOKUP(Table2[[#This Row],[First_egg_lay_date]],'19-20_niwa_temp_data'!B:B,'19-20_niwa_temp_data'!G:G, "No Match")</f>
        <v>15.4</v>
      </c>
      <c r="H407">
        <v>4</v>
      </c>
      <c r="I407" s="11">
        <v>43776</v>
      </c>
      <c r="J407">
        <f>_xlfn.XLOOKUP(Table2[[#This Row],[Nest_box_ID]],Sheet1!A:A,Sheet1!L:L, "No Match")</f>
        <v>0</v>
      </c>
      <c r="K407" s="11">
        <v>43791</v>
      </c>
      <c r="L407">
        <f>_xlfn.XLOOKUP(Table2[[#This Row],[Nest_box_ID]],Sheet1!A:A,Sheet1!K:K, "No Match")</f>
        <v>15</v>
      </c>
      <c r="M407" s="11">
        <v>43777</v>
      </c>
      <c r="N407" s="16">
        <v>0.60256944444444449</v>
      </c>
      <c r="O407">
        <v>1</v>
      </c>
      <c r="P407">
        <v>149.43333329999999</v>
      </c>
      <c r="Q407" t="s">
        <v>319</v>
      </c>
      <c r="R407">
        <v>420</v>
      </c>
      <c r="S407">
        <f>_xlfn.XLOOKUP(Table2[[#This Row],[Obs_date]],'19-20_niwa_temp_data'!B:B,'19-20_niwa_temp_data'!G:G, "N/A")</f>
        <v>16.736785832411194</v>
      </c>
      <c r="T407">
        <f>_xlfn.XLOOKUP(Table2[[#This Row],[First_egg_lay_date]],'19-20_niwa_temp_data'!B:B,'19-20_niwa_temp_data'!G:G, "No Match")</f>
        <v>15.4</v>
      </c>
    </row>
    <row r="408" spans="1:20" hidden="1" x14ac:dyDescent="0.35">
      <c r="A408" t="s">
        <v>9</v>
      </c>
      <c r="B408" t="s">
        <v>22</v>
      </c>
      <c r="C408" s="3" t="s">
        <v>111</v>
      </c>
      <c r="D408" t="str">
        <f>_xlfn.XLOOKUP(Table2[[#This Row],[Female_ID ]],'19-20_female_cohort'!I:I,'19-20_female_cohort'!H:H, "No Match")</f>
        <v>2016/2017</v>
      </c>
      <c r="E408">
        <v>3</v>
      </c>
      <c r="F408" s="11">
        <v>43773</v>
      </c>
      <c r="G408">
        <f>_xlfn.XLOOKUP(Table2[[#This Row],[First_egg_lay_date]],'19-20_niwa_temp_data'!B:B,'19-20_niwa_temp_data'!G:G, "No Match")</f>
        <v>15.4</v>
      </c>
      <c r="H408">
        <v>4</v>
      </c>
      <c r="I408" s="11">
        <v>43776</v>
      </c>
      <c r="J408">
        <f>_xlfn.XLOOKUP(Table2[[#This Row],[Nest_box_ID]],Sheet1!A:A,Sheet1!L:L, "No Match")</f>
        <v>0</v>
      </c>
      <c r="K408" s="11">
        <v>43791</v>
      </c>
      <c r="L408">
        <f>_xlfn.XLOOKUP(Table2[[#This Row],[Nest_box_ID]],Sheet1!A:A,Sheet1!K:K, "No Match")</f>
        <v>15</v>
      </c>
      <c r="M408" s="11">
        <v>43777</v>
      </c>
      <c r="N408" s="16">
        <v>0.60743055555555558</v>
      </c>
      <c r="O408">
        <v>1</v>
      </c>
      <c r="P408">
        <v>149.43333329999999</v>
      </c>
      <c r="Q408" t="s">
        <v>320</v>
      </c>
      <c r="R408">
        <v>860</v>
      </c>
      <c r="S408">
        <f>_xlfn.XLOOKUP(Table2[[#This Row],[Obs_date]],'19-20_niwa_temp_data'!B:B,'19-20_niwa_temp_data'!G:G, "N/A")</f>
        <v>16.736785832411194</v>
      </c>
      <c r="T408">
        <f>_xlfn.XLOOKUP(Table2[[#This Row],[First_egg_lay_date]],'19-20_niwa_temp_data'!B:B,'19-20_niwa_temp_data'!G:G, "No Match")</f>
        <v>15.4</v>
      </c>
    </row>
    <row r="409" spans="1:20" x14ac:dyDescent="0.35">
      <c r="A409" t="s">
        <v>9</v>
      </c>
      <c r="B409" t="s">
        <v>22</v>
      </c>
      <c r="C409" s="3" t="s">
        <v>111</v>
      </c>
      <c r="D409" t="str">
        <f>_xlfn.XLOOKUP(Table2[[#This Row],[Female_ID ]],'19-20_female_cohort'!I:I,'19-20_female_cohort'!H:H, "No Match")</f>
        <v>2016/2017</v>
      </c>
      <c r="E409">
        <v>3</v>
      </c>
      <c r="F409" s="11">
        <v>43773</v>
      </c>
      <c r="G409">
        <f>_xlfn.XLOOKUP(Table2[[#This Row],[First_egg_lay_date]],'19-20_niwa_temp_data'!B:B,'19-20_niwa_temp_data'!G:G, "No Match")</f>
        <v>15.4</v>
      </c>
      <c r="H409">
        <v>4</v>
      </c>
      <c r="I409" s="11">
        <v>43776</v>
      </c>
      <c r="J409">
        <f>_xlfn.XLOOKUP(Table2[[#This Row],[Nest_box_ID]],Sheet1!A:A,Sheet1!L:L, "No Match")</f>
        <v>0</v>
      </c>
      <c r="K409" s="11">
        <v>43791</v>
      </c>
      <c r="L409">
        <f>_xlfn.XLOOKUP(Table2[[#This Row],[Nest_box_ID]],Sheet1!A:A,Sheet1!K:K, "No Match")</f>
        <v>15</v>
      </c>
      <c r="M409" s="11">
        <v>43777</v>
      </c>
      <c r="N409" s="16">
        <v>0.61738425925925922</v>
      </c>
      <c r="O409">
        <v>1</v>
      </c>
      <c r="P409">
        <v>149.43333329999999</v>
      </c>
      <c r="Q409" t="s">
        <v>319</v>
      </c>
      <c r="R409">
        <v>292</v>
      </c>
      <c r="S409">
        <f>_xlfn.XLOOKUP(Table2[[#This Row],[Obs_date]],'19-20_niwa_temp_data'!B:B,'19-20_niwa_temp_data'!G:G, "N/A")</f>
        <v>16.736785832411194</v>
      </c>
      <c r="T409">
        <f>_xlfn.XLOOKUP(Table2[[#This Row],[First_egg_lay_date]],'19-20_niwa_temp_data'!B:B,'19-20_niwa_temp_data'!G:G, "No Match")</f>
        <v>15.4</v>
      </c>
    </row>
    <row r="410" spans="1:20" hidden="1" x14ac:dyDescent="0.35">
      <c r="A410" t="s">
        <v>9</v>
      </c>
      <c r="B410" t="s">
        <v>22</v>
      </c>
      <c r="C410" s="3" t="s">
        <v>111</v>
      </c>
      <c r="D410" t="str">
        <f>_xlfn.XLOOKUP(Table2[[#This Row],[Female_ID ]],'19-20_female_cohort'!I:I,'19-20_female_cohort'!H:H, "No Match")</f>
        <v>2016/2017</v>
      </c>
      <c r="E410">
        <v>3</v>
      </c>
      <c r="F410" s="11">
        <v>43773</v>
      </c>
      <c r="G410">
        <f>_xlfn.XLOOKUP(Table2[[#This Row],[First_egg_lay_date]],'19-20_niwa_temp_data'!B:B,'19-20_niwa_temp_data'!G:G, "No Match")</f>
        <v>15.4</v>
      </c>
      <c r="H410">
        <v>4</v>
      </c>
      <c r="I410" s="11">
        <v>43776</v>
      </c>
      <c r="J410">
        <f>_xlfn.XLOOKUP(Table2[[#This Row],[Nest_box_ID]],Sheet1!A:A,Sheet1!L:L, "No Match")</f>
        <v>0</v>
      </c>
      <c r="K410" s="11">
        <v>43791</v>
      </c>
      <c r="L410">
        <f>_xlfn.XLOOKUP(Table2[[#This Row],[Nest_box_ID]],Sheet1!A:A,Sheet1!K:K, "No Match")</f>
        <v>15</v>
      </c>
      <c r="M410" s="11">
        <v>43777</v>
      </c>
      <c r="N410" s="16">
        <v>0.62076388888888889</v>
      </c>
      <c r="O410">
        <v>1</v>
      </c>
      <c r="P410">
        <v>149.43333329999999</v>
      </c>
      <c r="Q410" t="s">
        <v>320</v>
      </c>
      <c r="R410">
        <v>729</v>
      </c>
      <c r="S410">
        <f>_xlfn.XLOOKUP(Table2[[#This Row],[Obs_date]],'19-20_niwa_temp_data'!B:B,'19-20_niwa_temp_data'!G:G, "N/A")</f>
        <v>16.736785832411194</v>
      </c>
      <c r="T410">
        <f>_xlfn.XLOOKUP(Table2[[#This Row],[First_egg_lay_date]],'19-20_niwa_temp_data'!B:B,'19-20_niwa_temp_data'!G:G, "No Match")</f>
        <v>15.4</v>
      </c>
    </row>
    <row r="411" spans="1:20" x14ac:dyDescent="0.35">
      <c r="A411" t="s">
        <v>9</v>
      </c>
      <c r="B411" t="s">
        <v>22</v>
      </c>
      <c r="C411" s="3" t="s">
        <v>111</v>
      </c>
      <c r="D411" t="str">
        <f>_xlfn.XLOOKUP(Table2[[#This Row],[Female_ID ]],'19-20_female_cohort'!I:I,'19-20_female_cohort'!H:H, "No Match")</f>
        <v>2016/2017</v>
      </c>
      <c r="E411">
        <v>3</v>
      </c>
      <c r="F411" s="11">
        <v>43773</v>
      </c>
      <c r="G411">
        <f>_xlfn.XLOOKUP(Table2[[#This Row],[First_egg_lay_date]],'19-20_niwa_temp_data'!B:B,'19-20_niwa_temp_data'!G:G, "No Match")</f>
        <v>15.4</v>
      </c>
      <c r="H411">
        <v>4</v>
      </c>
      <c r="I411" s="11">
        <v>43776</v>
      </c>
      <c r="J411">
        <f>_xlfn.XLOOKUP(Table2[[#This Row],[Nest_box_ID]],Sheet1!A:A,Sheet1!L:L, "No Match")</f>
        <v>0</v>
      </c>
      <c r="K411" s="11">
        <v>43791</v>
      </c>
      <c r="L411">
        <f>_xlfn.XLOOKUP(Table2[[#This Row],[Nest_box_ID]],Sheet1!A:A,Sheet1!K:K, "No Match")</f>
        <v>15</v>
      </c>
      <c r="M411" s="11">
        <v>43777</v>
      </c>
      <c r="N411" s="16">
        <v>0.62920138888888888</v>
      </c>
      <c r="O411">
        <v>1</v>
      </c>
      <c r="P411">
        <v>149.43333329999999</v>
      </c>
      <c r="Q411" t="s">
        <v>319</v>
      </c>
      <c r="R411">
        <v>237</v>
      </c>
      <c r="S411">
        <f>_xlfn.XLOOKUP(Table2[[#This Row],[Obs_date]],'19-20_niwa_temp_data'!B:B,'19-20_niwa_temp_data'!G:G, "N/A")</f>
        <v>16.736785832411194</v>
      </c>
      <c r="T411">
        <f>_xlfn.XLOOKUP(Table2[[#This Row],[First_egg_lay_date]],'19-20_niwa_temp_data'!B:B,'19-20_niwa_temp_data'!G:G, "No Match")</f>
        <v>15.4</v>
      </c>
    </row>
    <row r="412" spans="1:20" hidden="1" x14ac:dyDescent="0.35">
      <c r="A412" t="s">
        <v>9</v>
      </c>
      <c r="B412" t="s">
        <v>22</v>
      </c>
      <c r="C412" s="3" t="s">
        <v>111</v>
      </c>
      <c r="D412" t="str">
        <f>_xlfn.XLOOKUP(Table2[[#This Row],[Female_ID ]],'19-20_female_cohort'!I:I,'19-20_female_cohort'!H:H, "No Match")</f>
        <v>2016/2017</v>
      </c>
      <c r="E412">
        <v>3</v>
      </c>
      <c r="F412" s="11">
        <v>43773</v>
      </c>
      <c r="G412">
        <f>_xlfn.XLOOKUP(Table2[[#This Row],[First_egg_lay_date]],'19-20_niwa_temp_data'!B:B,'19-20_niwa_temp_data'!G:G, "No Match")</f>
        <v>15.4</v>
      </c>
      <c r="H412">
        <v>4</v>
      </c>
      <c r="I412" s="11">
        <v>43776</v>
      </c>
      <c r="J412">
        <f>_xlfn.XLOOKUP(Table2[[#This Row],[Nest_box_ID]],Sheet1!A:A,Sheet1!L:L, "No Match")</f>
        <v>0</v>
      </c>
      <c r="K412" s="11">
        <v>43791</v>
      </c>
      <c r="L412">
        <f>_xlfn.XLOOKUP(Table2[[#This Row],[Nest_box_ID]],Sheet1!A:A,Sheet1!K:K, "No Match")</f>
        <v>15</v>
      </c>
      <c r="M412" s="11">
        <v>43777</v>
      </c>
      <c r="N412" s="16">
        <v>0.63194444444444442</v>
      </c>
      <c r="O412">
        <v>1</v>
      </c>
      <c r="P412">
        <v>149.43333329999999</v>
      </c>
      <c r="Q412" t="s">
        <v>320</v>
      </c>
      <c r="R412">
        <v>303</v>
      </c>
      <c r="S412">
        <f>_xlfn.XLOOKUP(Table2[[#This Row],[Obs_date]],'19-20_niwa_temp_data'!B:B,'19-20_niwa_temp_data'!G:G, "N/A")</f>
        <v>16.736785832411194</v>
      </c>
      <c r="T412">
        <f>_xlfn.XLOOKUP(Table2[[#This Row],[First_egg_lay_date]],'19-20_niwa_temp_data'!B:B,'19-20_niwa_temp_data'!G:G, "No Match")</f>
        <v>15.4</v>
      </c>
    </row>
    <row r="413" spans="1:20" x14ac:dyDescent="0.35">
      <c r="A413" t="s">
        <v>9</v>
      </c>
      <c r="B413" t="s">
        <v>22</v>
      </c>
      <c r="C413" s="3" t="s">
        <v>111</v>
      </c>
      <c r="D413" t="str">
        <f>_xlfn.XLOOKUP(Table2[[#This Row],[Female_ID ]],'19-20_female_cohort'!I:I,'19-20_female_cohort'!H:H, "No Match")</f>
        <v>2016/2017</v>
      </c>
      <c r="E413">
        <v>3</v>
      </c>
      <c r="F413" s="11">
        <v>43773</v>
      </c>
      <c r="G413">
        <f>_xlfn.XLOOKUP(Table2[[#This Row],[First_egg_lay_date]],'19-20_niwa_temp_data'!B:B,'19-20_niwa_temp_data'!G:G, "No Match")</f>
        <v>15.4</v>
      </c>
      <c r="H413">
        <v>4</v>
      </c>
      <c r="I413" s="11">
        <v>43776</v>
      </c>
      <c r="J413">
        <f>_xlfn.XLOOKUP(Table2[[#This Row],[Nest_box_ID]],Sheet1!A:A,Sheet1!L:L, "No Match")</f>
        <v>0</v>
      </c>
      <c r="K413" s="11">
        <v>43791</v>
      </c>
      <c r="L413">
        <f>_xlfn.XLOOKUP(Table2[[#This Row],[Nest_box_ID]],Sheet1!A:A,Sheet1!K:K, "No Match")</f>
        <v>15</v>
      </c>
      <c r="M413" s="11">
        <v>43777</v>
      </c>
      <c r="N413" s="16">
        <v>0.63545138888888886</v>
      </c>
      <c r="O413">
        <v>1</v>
      </c>
      <c r="P413">
        <v>149.43333329999999</v>
      </c>
      <c r="Q413" t="s">
        <v>319</v>
      </c>
      <c r="R413">
        <v>358</v>
      </c>
      <c r="S413">
        <f>_xlfn.XLOOKUP(Table2[[#This Row],[Obs_date]],'19-20_niwa_temp_data'!B:B,'19-20_niwa_temp_data'!G:G, "N/A")</f>
        <v>16.736785832411194</v>
      </c>
      <c r="T413">
        <f>_xlfn.XLOOKUP(Table2[[#This Row],[First_egg_lay_date]],'19-20_niwa_temp_data'!B:B,'19-20_niwa_temp_data'!G:G, "No Match")</f>
        <v>15.4</v>
      </c>
    </row>
    <row r="414" spans="1:20" hidden="1" x14ac:dyDescent="0.35">
      <c r="A414" t="s">
        <v>9</v>
      </c>
      <c r="B414" t="s">
        <v>22</v>
      </c>
      <c r="C414" s="3" t="s">
        <v>111</v>
      </c>
      <c r="D414" t="str">
        <f>_xlfn.XLOOKUP(Table2[[#This Row],[Female_ID ]],'19-20_female_cohort'!I:I,'19-20_female_cohort'!H:H, "No Match")</f>
        <v>2016/2017</v>
      </c>
      <c r="E414">
        <v>3</v>
      </c>
      <c r="F414" s="11">
        <v>43773</v>
      </c>
      <c r="G414">
        <f>_xlfn.XLOOKUP(Table2[[#This Row],[First_egg_lay_date]],'19-20_niwa_temp_data'!B:B,'19-20_niwa_temp_data'!G:G, "No Match")</f>
        <v>15.4</v>
      </c>
      <c r="H414">
        <v>4</v>
      </c>
      <c r="I414" s="11">
        <v>43776</v>
      </c>
      <c r="J414">
        <f>_xlfn.XLOOKUP(Table2[[#This Row],[Nest_box_ID]],Sheet1!A:A,Sheet1!L:L, "No Match")</f>
        <v>0</v>
      </c>
      <c r="K414" s="11">
        <v>43791</v>
      </c>
      <c r="L414">
        <f>_xlfn.XLOOKUP(Table2[[#This Row],[Nest_box_ID]],Sheet1!A:A,Sheet1!K:K, "No Match")</f>
        <v>15</v>
      </c>
      <c r="M414" s="11">
        <v>43777</v>
      </c>
      <c r="N414" s="16">
        <v>0.63959490740740743</v>
      </c>
      <c r="O414">
        <v>1</v>
      </c>
      <c r="P414">
        <v>149.43333329999999</v>
      </c>
      <c r="Q414" t="s">
        <v>320</v>
      </c>
      <c r="R414">
        <v>678</v>
      </c>
      <c r="S414">
        <f>_xlfn.XLOOKUP(Table2[[#This Row],[Obs_date]],'19-20_niwa_temp_data'!B:B,'19-20_niwa_temp_data'!G:G, "N/A")</f>
        <v>16.736785832411194</v>
      </c>
      <c r="T414">
        <f>_xlfn.XLOOKUP(Table2[[#This Row],[First_egg_lay_date]],'19-20_niwa_temp_data'!B:B,'19-20_niwa_temp_data'!G:G, "No Match")</f>
        <v>15.4</v>
      </c>
    </row>
    <row r="415" spans="1:20" x14ac:dyDescent="0.35">
      <c r="A415" t="s">
        <v>9</v>
      </c>
      <c r="B415" t="s">
        <v>22</v>
      </c>
      <c r="C415" s="3" t="s">
        <v>111</v>
      </c>
      <c r="D415" t="str">
        <f>_xlfn.XLOOKUP(Table2[[#This Row],[Female_ID ]],'19-20_female_cohort'!I:I,'19-20_female_cohort'!H:H, "No Match")</f>
        <v>2016/2017</v>
      </c>
      <c r="E415">
        <v>3</v>
      </c>
      <c r="F415" s="11">
        <v>43773</v>
      </c>
      <c r="G415">
        <f>_xlfn.XLOOKUP(Table2[[#This Row],[First_egg_lay_date]],'19-20_niwa_temp_data'!B:B,'19-20_niwa_temp_data'!G:G, "No Match")</f>
        <v>15.4</v>
      </c>
      <c r="H415">
        <v>4</v>
      </c>
      <c r="I415" s="11">
        <v>43776</v>
      </c>
      <c r="J415">
        <f>_xlfn.XLOOKUP(Table2[[#This Row],[Nest_box_ID]],Sheet1!A:A,Sheet1!L:L, "No Match")</f>
        <v>0</v>
      </c>
      <c r="K415" s="11">
        <v>43791</v>
      </c>
      <c r="L415">
        <f>_xlfn.XLOOKUP(Table2[[#This Row],[Nest_box_ID]],Sheet1!A:A,Sheet1!K:K, "No Match")</f>
        <v>15</v>
      </c>
      <c r="M415" s="11">
        <v>43777</v>
      </c>
      <c r="N415" s="16">
        <v>0.64744212962962966</v>
      </c>
      <c r="O415">
        <v>1</v>
      </c>
      <c r="P415">
        <v>149.43333329999999</v>
      </c>
      <c r="Q415" t="s">
        <v>319</v>
      </c>
      <c r="R415">
        <v>397</v>
      </c>
      <c r="S415">
        <f>_xlfn.XLOOKUP(Table2[[#This Row],[Obs_date]],'19-20_niwa_temp_data'!B:B,'19-20_niwa_temp_data'!G:G, "N/A")</f>
        <v>16.736785832411194</v>
      </c>
      <c r="T415">
        <f>_xlfn.XLOOKUP(Table2[[#This Row],[First_egg_lay_date]],'19-20_niwa_temp_data'!B:B,'19-20_niwa_temp_data'!G:G, "No Match")</f>
        <v>15.4</v>
      </c>
    </row>
    <row r="416" spans="1:20" hidden="1" x14ac:dyDescent="0.35">
      <c r="A416" t="s">
        <v>9</v>
      </c>
      <c r="B416" t="s">
        <v>22</v>
      </c>
      <c r="C416" s="3" t="s">
        <v>111</v>
      </c>
      <c r="D416" t="str">
        <f>_xlfn.XLOOKUP(Table2[[#This Row],[Female_ID ]],'19-20_female_cohort'!I:I,'19-20_female_cohort'!H:H, "No Match")</f>
        <v>2016/2017</v>
      </c>
      <c r="E416">
        <v>3</v>
      </c>
      <c r="F416" s="11">
        <v>43773</v>
      </c>
      <c r="G416">
        <f>_xlfn.XLOOKUP(Table2[[#This Row],[First_egg_lay_date]],'19-20_niwa_temp_data'!B:B,'19-20_niwa_temp_data'!G:G, "No Match")</f>
        <v>15.4</v>
      </c>
      <c r="H416">
        <v>4</v>
      </c>
      <c r="I416" s="11">
        <v>43776</v>
      </c>
      <c r="J416">
        <f>_xlfn.XLOOKUP(Table2[[#This Row],[Nest_box_ID]],Sheet1!A:A,Sheet1!L:L, "No Match")</f>
        <v>0</v>
      </c>
      <c r="K416" s="11">
        <v>43791</v>
      </c>
      <c r="L416">
        <f>_xlfn.XLOOKUP(Table2[[#This Row],[Nest_box_ID]],Sheet1!A:A,Sheet1!K:K, "No Match")</f>
        <v>15</v>
      </c>
      <c r="M416" s="11">
        <v>43777</v>
      </c>
      <c r="N416" s="16">
        <v>0.65203703703703708</v>
      </c>
      <c r="O416">
        <v>1</v>
      </c>
      <c r="P416">
        <v>149.43333329999999</v>
      </c>
      <c r="Q416" t="s">
        <v>320</v>
      </c>
      <c r="R416">
        <v>127</v>
      </c>
      <c r="S416">
        <f>_xlfn.XLOOKUP(Table2[[#This Row],[Obs_date]],'19-20_niwa_temp_data'!B:B,'19-20_niwa_temp_data'!G:G, "N/A")</f>
        <v>16.736785832411194</v>
      </c>
      <c r="T416">
        <f>_xlfn.XLOOKUP(Table2[[#This Row],[First_egg_lay_date]],'19-20_niwa_temp_data'!B:B,'19-20_niwa_temp_data'!G:G, "No Match")</f>
        <v>15.4</v>
      </c>
    </row>
    <row r="417" spans="1:20" x14ac:dyDescent="0.35">
      <c r="A417" t="s">
        <v>9</v>
      </c>
      <c r="B417" t="s">
        <v>22</v>
      </c>
      <c r="C417" s="3" t="s">
        <v>111</v>
      </c>
      <c r="D417" t="str">
        <f>_xlfn.XLOOKUP(Table2[[#This Row],[Female_ID ]],'19-20_female_cohort'!I:I,'19-20_female_cohort'!H:H, "No Match")</f>
        <v>2016/2017</v>
      </c>
      <c r="E417">
        <v>3</v>
      </c>
      <c r="F417" s="11">
        <v>43773</v>
      </c>
      <c r="G417">
        <f>_xlfn.XLOOKUP(Table2[[#This Row],[First_egg_lay_date]],'19-20_niwa_temp_data'!B:B,'19-20_niwa_temp_data'!G:G, "No Match")</f>
        <v>15.4</v>
      </c>
      <c r="H417">
        <v>4</v>
      </c>
      <c r="I417" s="11">
        <v>43776</v>
      </c>
      <c r="J417">
        <f>_xlfn.XLOOKUP(Table2[[#This Row],[Nest_box_ID]],Sheet1!A:A,Sheet1!L:L, "No Match")</f>
        <v>0</v>
      </c>
      <c r="K417" s="11">
        <v>43791</v>
      </c>
      <c r="L417">
        <f>_xlfn.XLOOKUP(Table2[[#This Row],[Nest_box_ID]],Sheet1!A:A,Sheet1!K:K, "No Match")</f>
        <v>15</v>
      </c>
      <c r="M417" s="11">
        <v>43777</v>
      </c>
      <c r="N417" s="16">
        <v>0.65350694444444446</v>
      </c>
      <c r="O417">
        <v>1</v>
      </c>
      <c r="P417">
        <v>149.43333329999999</v>
      </c>
      <c r="Q417" t="s">
        <v>319</v>
      </c>
      <c r="R417">
        <v>115</v>
      </c>
      <c r="S417">
        <f>_xlfn.XLOOKUP(Table2[[#This Row],[Obs_date]],'19-20_niwa_temp_data'!B:B,'19-20_niwa_temp_data'!G:G, "N/A")</f>
        <v>16.736785832411194</v>
      </c>
      <c r="T417">
        <f>_xlfn.XLOOKUP(Table2[[#This Row],[First_egg_lay_date]],'19-20_niwa_temp_data'!B:B,'19-20_niwa_temp_data'!G:G, "No Match")</f>
        <v>15.4</v>
      </c>
    </row>
    <row r="418" spans="1:20" hidden="1" x14ac:dyDescent="0.35">
      <c r="A418" t="s">
        <v>9</v>
      </c>
      <c r="B418" t="s">
        <v>22</v>
      </c>
      <c r="C418" s="3" t="s">
        <v>111</v>
      </c>
      <c r="D418" t="str">
        <f>_xlfn.XLOOKUP(Table2[[#This Row],[Female_ID ]],'19-20_female_cohort'!I:I,'19-20_female_cohort'!H:H, "No Match")</f>
        <v>2016/2017</v>
      </c>
      <c r="E418">
        <v>3</v>
      </c>
      <c r="F418" s="11">
        <v>43773</v>
      </c>
      <c r="G418">
        <f>_xlfn.XLOOKUP(Table2[[#This Row],[First_egg_lay_date]],'19-20_niwa_temp_data'!B:B,'19-20_niwa_temp_data'!G:G, "No Match")</f>
        <v>15.4</v>
      </c>
      <c r="H418">
        <v>4</v>
      </c>
      <c r="I418" s="11">
        <v>43776</v>
      </c>
      <c r="J418">
        <f>_xlfn.XLOOKUP(Table2[[#This Row],[Nest_box_ID]],Sheet1!A:A,Sheet1!L:L, "No Match")</f>
        <v>0</v>
      </c>
      <c r="K418" s="11">
        <v>43791</v>
      </c>
      <c r="L418">
        <f>_xlfn.XLOOKUP(Table2[[#This Row],[Nest_box_ID]],Sheet1!A:A,Sheet1!K:K, "No Match")</f>
        <v>15</v>
      </c>
      <c r="M418" s="11">
        <v>43777</v>
      </c>
      <c r="N418" s="16">
        <v>0.65483796296296293</v>
      </c>
      <c r="O418">
        <v>1</v>
      </c>
      <c r="P418">
        <v>149.43333329999999</v>
      </c>
      <c r="Q418" t="s">
        <v>320</v>
      </c>
      <c r="R418">
        <v>761</v>
      </c>
      <c r="S418">
        <f>_xlfn.XLOOKUP(Table2[[#This Row],[Obs_date]],'19-20_niwa_temp_data'!B:B,'19-20_niwa_temp_data'!G:G, "N/A")</f>
        <v>16.736785832411194</v>
      </c>
      <c r="T418">
        <f>_xlfn.XLOOKUP(Table2[[#This Row],[First_egg_lay_date]],'19-20_niwa_temp_data'!B:B,'19-20_niwa_temp_data'!G:G, "No Match")</f>
        <v>15.4</v>
      </c>
    </row>
    <row r="419" spans="1:20" hidden="1" x14ac:dyDescent="0.35">
      <c r="A419" t="s">
        <v>9</v>
      </c>
      <c r="B419" t="s">
        <v>22</v>
      </c>
      <c r="C419" s="3" t="s">
        <v>111</v>
      </c>
      <c r="D419" t="str">
        <f>_xlfn.XLOOKUP(Table2[[#This Row],[Female_ID ]],'19-20_female_cohort'!I:I,'19-20_female_cohort'!H:H, "No Match")</f>
        <v>2016/2017</v>
      </c>
      <c r="E419">
        <v>3</v>
      </c>
      <c r="F419" s="11">
        <v>43773</v>
      </c>
      <c r="G419">
        <f>_xlfn.XLOOKUP(Table2[[#This Row],[First_egg_lay_date]],'19-20_niwa_temp_data'!B:B,'19-20_niwa_temp_data'!G:G, "No Match")</f>
        <v>15.4</v>
      </c>
      <c r="H419">
        <v>4</v>
      </c>
      <c r="I419" s="11">
        <v>43776</v>
      </c>
      <c r="J419">
        <f>_xlfn.XLOOKUP(Table2[[#This Row],[Nest_box_ID]],Sheet1!A:A,Sheet1!L:L, "No Match")</f>
        <v>0</v>
      </c>
      <c r="K419" s="11">
        <v>43791</v>
      </c>
      <c r="L419">
        <f>_xlfn.XLOOKUP(Table2[[#This Row],[Nest_box_ID]],Sheet1!A:A,Sheet1!K:K, "No Match")</f>
        <v>15</v>
      </c>
      <c r="M419" s="11">
        <v>43777</v>
      </c>
      <c r="N419" s="16">
        <v>0.66364583333333338</v>
      </c>
      <c r="O419">
        <v>1</v>
      </c>
      <c r="P419">
        <v>149.43333329999999</v>
      </c>
      <c r="Q419" t="s">
        <v>320</v>
      </c>
      <c r="R419">
        <v>167</v>
      </c>
      <c r="S419">
        <f>_xlfn.XLOOKUP(Table2[[#This Row],[Obs_date]],'19-20_niwa_temp_data'!B:B,'19-20_niwa_temp_data'!G:G, "N/A")</f>
        <v>16.736785832411194</v>
      </c>
      <c r="T419">
        <f>_xlfn.XLOOKUP(Table2[[#This Row],[First_egg_lay_date]],'19-20_niwa_temp_data'!B:B,'19-20_niwa_temp_data'!G:G, "No Match")</f>
        <v>15.4</v>
      </c>
    </row>
    <row r="420" spans="1:20" hidden="1" x14ac:dyDescent="0.35">
      <c r="A420" t="s">
        <v>9</v>
      </c>
      <c r="B420" t="s">
        <v>22</v>
      </c>
      <c r="C420" s="3" t="s">
        <v>111</v>
      </c>
      <c r="D420" t="str">
        <f>_xlfn.XLOOKUP(Table2[[#This Row],[Female_ID ]],'19-20_female_cohort'!I:I,'19-20_female_cohort'!H:H, "No Match")</f>
        <v>2016/2017</v>
      </c>
      <c r="E420">
        <v>3</v>
      </c>
      <c r="F420" s="11">
        <v>43773</v>
      </c>
      <c r="G420">
        <f>_xlfn.XLOOKUP(Table2[[#This Row],[First_egg_lay_date]],'19-20_niwa_temp_data'!B:B,'19-20_niwa_temp_data'!G:G, "No Match")</f>
        <v>15.4</v>
      </c>
      <c r="H420">
        <v>4</v>
      </c>
      <c r="I420" s="11">
        <v>43776</v>
      </c>
      <c r="J420">
        <f>_xlfn.XLOOKUP(Table2[[#This Row],[Nest_box_ID]],Sheet1!A:A,Sheet1!L:L, "No Match")</f>
        <v>0</v>
      </c>
      <c r="K420" s="11">
        <v>43791</v>
      </c>
      <c r="L420">
        <f>_xlfn.XLOOKUP(Table2[[#This Row],[Nest_box_ID]],Sheet1!A:A,Sheet1!K:K, "No Match")</f>
        <v>15</v>
      </c>
      <c r="M420" s="11">
        <v>43777</v>
      </c>
      <c r="N420" s="16">
        <v>0.66557870370370376</v>
      </c>
      <c r="O420">
        <v>1</v>
      </c>
      <c r="P420">
        <v>149.43333329999999</v>
      </c>
      <c r="Q420" t="s">
        <v>319</v>
      </c>
      <c r="R420" t="s">
        <v>254</v>
      </c>
      <c r="S420">
        <f>_xlfn.XLOOKUP(Table2[[#This Row],[Obs_date]],'19-20_niwa_temp_data'!B:B,'19-20_niwa_temp_data'!G:G, "N/A")</f>
        <v>16.736785832411194</v>
      </c>
      <c r="T420">
        <f>_xlfn.XLOOKUP(Table2[[#This Row],[First_egg_lay_date]],'19-20_niwa_temp_data'!B:B,'19-20_niwa_temp_data'!G:G, "No Match")</f>
        <v>15.4</v>
      </c>
    </row>
    <row r="421" spans="1:20" hidden="1" x14ac:dyDescent="0.35">
      <c r="A421" t="s">
        <v>9</v>
      </c>
      <c r="B421" t="s">
        <v>22</v>
      </c>
      <c r="C421" s="3" t="s">
        <v>111</v>
      </c>
      <c r="D421" t="str">
        <f>_xlfn.XLOOKUP(Table2[[#This Row],[Female_ID ]],'19-20_female_cohort'!I:I,'19-20_female_cohort'!H:H, "No Match")</f>
        <v>2016/2017</v>
      </c>
      <c r="E421">
        <v>3</v>
      </c>
      <c r="F421" s="11">
        <v>43773</v>
      </c>
      <c r="G421">
        <f>_xlfn.XLOOKUP(Table2[[#This Row],[First_egg_lay_date]],'19-20_niwa_temp_data'!B:B,'19-20_niwa_temp_data'!G:G, "No Match")</f>
        <v>15.4</v>
      </c>
      <c r="H421">
        <v>4</v>
      </c>
      <c r="I421" s="11">
        <v>43776</v>
      </c>
      <c r="J421">
        <f>_xlfn.XLOOKUP(Table2[[#This Row],[Nest_box_ID]],Sheet1!A:A,Sheet1!L:L, "No Match")</f>
        <v>0</v>
      </c>
      <c r="K421" s="11">
        <v>43791</v>
      </c>
      <c r="L421">
        <f>_xlfn.XLOOKUP(Table2[[#This Row],[Nest_box_ID]],Sheet1!A:A,Sheet1!K:K, "No Match")</f>
        <v>15</v>
      </c>
      <c r="M421" s="11">
        <v>43783</v>
      </c>
      <c r="N421" s="16">
        <v>0.43936342592592592</v>
      </c>
      <c r="O421">
        <v>7</v>
      </c>
      <c r="P421">
        <v>59</v>
      </c>
      <c r="Q421" t="s">
        <v>320</v>
      </c>
      <c r="R421">
        <v>166</v>
      </c>
      <c r="S421">
        <f>_xlfn.XLOOKUP(Table2[[#This Row],[Obs_date]],'19-20_niwa_temp_data'!B:B,'19-20_niwa_temp_data'!G:G, "N/A")</f>
        <v>16.095962226595837</v>
      </c>
      <c r="T421">
        <f>_xlfn.XLOOKUP(Table2[[#This Row],[First_egg_lay_date]],'19-20_niwa_temp_data'!B:B,'19-20_niwa_temp_data'!G:G, "No Match")</f>
        <v>15.4</v>
      </c>
    </row>
    <row r="422" spans="1:20" x14ac:dyDescent="0.35">
      <c r="A422" t="s">
        <v>9</v>
      </c>
      <c r="B422" t="s">
        <v>22</v>
      </c>
      <c r="C422" s="3" t="s">
        <v>111</v>
      </c>
      <c r="D422" t="str">
        <f>_xlfn.XLOOKUP(Table2[[#This Row],[Female_ID ]],'19-20_female_cohort'!I:I,'19-20_female_cohort'!H:H, "No Match")</f>
        <v>2016/2017</v>
      </c>
      <c r="E422">
        <v>3</v>
      </c>
      <c r="F422" s="11">
        <v>43773</v>
      </c>
      <c r="G422">
        <f>_xlfn.XLOOKUP(Table2[[#This Row],[First_egg_lay_date]],'19-20_niwa_temp_data'!B:B,'19-20_niwa_temp_data'!G:G, "No Match")</f>
        <v>15.4</v>
      </c>
      <c r="H422">
        <v>4</v>
      </c>
      <c r="I422" s="11">
        <v>43776</v>
      </c>
      <c r="J422">
        <f>_xlfn.XLOOKUP(Table2[[#This Row],[Nest_box_ID]],Sheet1!A:A,Sheet1!L:L, "No Match")</f>
        <v>0</v>
      </c>
      <c r="K422" s="11">
        <v>43791</v>
      </c>
      <c r="L422">
        <f>_xlfn.XLOOKUP(Table2[[#This Row],[Nest_box_ID]],Sheet1!A:A,Sheet1!K:K, "No Match")</f>
        <v>15</v>
      </c>
      <c r="M422" s="11">
        <v>43783</v>
      </c>
      <c r="N422" s="16">
        <v>0.4412847222222222</v>
      </c>
      <c r="O422">
        <v>7</v>
      </c>
      <c r="P422">
        <v>59</v>
      </c>
      <c r="Q422" t="s">
        <v>319</v>
      </c>
      <c r="R422">
        <v>231</v>
      </c>
      <c r="S422">
        <f>_xlfn.XLOOKUP(Table2[[#This Row],[Obs_date]],'19-20_niwa_temp_data'!B:B,'19-20_niwa_temp_data'!G:G, "N/A")</f>
        <v>16.095962226595837</v>
      </c>
      <c r="T422">
        <f>_xlfn.XLOOKUP(Table2[[#This Row],[First_egg_lay_date]],'19-20_niwa_temp_data'!B:B,'19-20_niwa_temp_data'!G:G, "No Match")</f>
        <v>15.4</v>
      </c>
    </row>
    <row r="423" spans="1:20" hidden="1" x14ac:dyDescent="0.35">
      <c r="A423" t="s">
        <v>9</v>
      </c>
      <c r="B423" t="s">
        <v>22</v>
      </c>
      <c r="C423" s="3" t="s">
        <v>111</v>
      </c>
      <c r="D423" t="str">
        <f>_xlfn.XLOOKUP(Table2[[#This Row],[Female_ID ]],'19-20_female_cohort'!I:I,'19-20_female_cohort'!H:H, "No Match")</f>
        <v>2016/2017</v>
      </c>
      <c r="E423">
        <v>3</v>
      </c>
      <c r="F423" s="11">
        <v>43773</v>
      </c>
      <c r="G423">
        <f>_xlfn.XLOOKUP(Table2[[#This Row],[First_egg_lay_date]],'19-20_niwa_temp_data'!B:B,'19-20_niwa_temp_data'!G:G, "No Match")</f>
        <v>15.4</v>
      </c>
      <c r="H423">
        <v>4</v>
      </c>
      <c r="I423" s="11">
        <v>43776</v>
      </c>
      <c r="J423">
        <f>_xlfn.XLOOKUP(Table2[[#This Row],[Nest_box_ID]],Sheet1!A:A,Sheet1!L:L, "No Match")</f>
        <v>0</v>
      </c>
      <c r="K423" s="11">
        <v>43791</v>
      </c>
      <c r="L423">
        <f>_xlfn.XLOOKUP(Table2[[#This Row],[Nest_box_ID]],Sheet1!A:A,Sheet1!K:K, "No Match")</f>
        <v>15</v>
      </c>
      <c r="M423" s="11">
        <v>43783</v>
      </c>
      <c r="N423" s="16">
        <v>0.44395833333333334</v>
      </c>
      <c r="O423">
        <v>7</v>
      </c>
      <c r="P423">
        <v>59</v>
      </c>
      <c r="Q423" t="s">
        <v>320</v>
      </c>
      <c r="R423">
        <v>732</v>
      </c>
      <c r="S423">
        <f>_xlfn.XLOOKUP(Table2[[#This Row],[Obs_date]],'19-20_niwa_temp_data'!B:B,'19-20_niwa_temp_data'!G:G, "N/A")</f>
        <v>16.095962226595837</v>
      </c>
      <c r="T423">
        <f>_xlfn.XLOOKUP(Table2[[#This Row],[First_egg_lay_date]],'19-20_niwa_temp_data'!B:B,'19-20_niwa_temp_data'!G:G, "No Match")</f>
        <v>15.4</v>
      </c>
    </row>
    <row r="424" spans="1:20" x14ac:dyDescent="0.35">
      <c r="A424" t="s">
        <v>9</v>
      </c>
      <c r="B424" t="s">
        <v>22</v>
      </c>
      <c r="C424" s="3" t="s">
        <v>111</v>
      </c>
      <c r="D424" t="str">
        <f>_xlfn.XLOOKUP(Table2[[#This Row],[Female_ID ]],'19-20_female_cohort'!I:I,'19-20_female_cohort'!H:H, "No Match")</f>
        <v>2016/2017</v>
      </c>
      <c r="E424">
        <v>3</v>
      </c>
      <c r="F424" s="11">
        <v>43773</v>
      </c>
      <c r="G424">
        <f>_xlfn.XLOOKUP(Table2[[#This Row],[First_egg_lay_date]],'19-20_niwa_temp_data'!B:B,'19-20_niwa_temp_data'!G:G, "No Match")</f>
        <v>15.4</v>
      </c>
      <c r="H424">
        <v>4</v>
      </c>
      <c r="I424" s="11">
        <v>43776</v>
      </c>
      <c r="J424">
        <f>_xlfn.XLOOKUP(Table2[[#This Row],[Nest_box_ID]],Sheet1!A:A,Sheet1!L:L, "No Match")</f>
        <v>0</v>
      </c>
      <c r="K424" s="11">
        <v>43791</v>
      </c>
      <c r="L424">
        <f>_xlfn.XLOOKUP(Table2[[#This Row],[Nest_box_ID]],Sheet1!A:A,Sheet1!K:K, "No Match")</f>
        <v>15</v>
      </c>
      <c r="M424" s="11">
        <v>43783</v>
      </c>
      <c r="N424" s="16">
        <v>0.45243055555555556</v>
      </c>
      <c r="O424">
        <v>7</v>
      </c>
      <c r="P424">
        <v>59</v>
      </c>
      <c r="Q424" t="s">
        <v>319</v>
      </c>
      <c r="R424">
        <v>250</v>
      </c>
      <c r="S424">
        <f>_xlfn.XLOOKUP(Table2[[#This Row],[Obs_date]],'19-20_niwa_temp_data'!B:B,'19-20_niwa_temp_data'!G:G, "N/A")</f>
        <v>16.095962226595837</v>
      </c>
      <c r="T424">
        <f>_xlfn.XLOOKUP(Table2[[#This Row],[First_egg_lay_date]],'19-20_niwa_temp_data'!B:B,'19-20_niwa_temp_data'!G:G, "No Match")</f>
        <v>15.4</v>
      </c>
    </row>
    <row r="425" spans="1:20" hidden="1" x14ac:dyDescent="0.35">
      <c r="A425" t="s">
        <v>9</v>
      </c>
      <c r="B425" t="s">
        <v>22</v>
      </c>
      <c r="C425" s="3" t="s">
        <v>111</v>
      </c>
      <c r="D425" t="str">
        <f>_xlfn.XLOOKUP(Table2[[#This Row],[Female_ID ]],'19-20_female_cohort'!I:I,'19-20_female_cohort'!H:H, "No Match")</f>
        <v>2016/2017</v>
      </c>
      <c r="E425">
        <v>3</v>
      </c>
      <c r="F425" s="11">
        <v>43773</v>
      </c>
      <c r="G425">
        <f>_xlfn.XLOOKUP(Table2[[#This Row],[First_egg_lay_date]],'19-20_niwa_temp_data'!B:B,'19-20_niwa_temp_data'!G:G, "No Match")</f>
        <v>15.4</v>
      </c>
      <c r="H425">
        <v>4</v>
      </c>
      <c r="I425" s="11">
        <v>43776</v>
      </c>
      <c r="J425">
        <f>_xlfn.XLOOKUP(Table2[[#This Row],[Nest_box_ID]],Sheet1!A:A,Sheet1!L:L, "No Match")</f>
        <v>0</v>
      </c>
      <c r="K425" s="11">
        <v>43791</v>
      </c>
      <c r="L425">
        <f>_xlfn.XLOOKUP(Table2[[#This Row],[Nest_box_ID]],Sheet1!A:A,Sheet1!K:K, "No Match")</f>
        <v>15</v>
      </c>
      <c r="M425" s="11">
        <v>43783</v>
      </c>
      <c r="N425" s="16">
        <v>0.45532407407407405</v>
      </c>
      <c r="O425">
        <v>7</v>
      </c>
      <c r="P425">
        <v>59</v>
      </c>
      <c r="Q425" t="s">
        <v>320</v>
      </c>
      <c r="R425">
        <v>139</v>
      </c>
      <c r="S425">
        <f>_xlfn.XLOOKUP(Table2[[#This Row],[Obs_date]],'19-20_niwa_temp_data'!B:B,'19-20_niwa_temp_data'!G:G, "N/A")</f>
        <v>16.095962226595837</v>
      </c>
      <c r="T425">
        <f>_xlfn.XLOOKUP(Table2[[#This Row],[First_egg_lay_date]],'19-20_niwa_temp_data'!B:B,'19-20_niwa_temp_data'!G:G, "No Match")</f>
        <v>15.4</v>
      </c>
    </row>
    <row r="426" spans="1:20" x14ac:dyDescent="0.35">
      <c r="A426" t="s">
        <v>9</v>
      </c>
      <c r="B426" t="s">
        <v>22</v>
      </c>
      <c r="C426" s="3" t="s">
        <v>111</v>
      </c>
      <c r="D426" t="str">
        <f>_xlfn.XLOOKUP(Table2[[#This Row],[Female_ID ]],'19-20_female_cohort'!I:I,'19-20_female_cohort'!H:H, "No Match")</f>
        <v>2016/2017</v>
      </c>
      <c r="E426">
        <v>3</v>
      </c>
      <c r="F426" s="11">
        <v>43773</v>
      </c>
      <c r="G426">
        <f>_xlfn.XLOOKUP(Table2[[#This Row],[First_egg_lay_date]],'19-20_niwa_temp_data'!B:B,'19-20_niwa_temp_data'!G:G, "No Match")</f>
        <v>15.4</v>
      </c>
      <c r="H426">
        <v>4</v>
      </c>
      <c r="I426" s="11">
        <v>43776</v>
      </c>
      <c r="J426">
        <f>_xlfn.XLOOKUP(Table2[[#This Row],[Nest_box_ID]],Sheet1!A:A,Sheet1!L:L, "No Match")</f>
        <v>0</v>
      </c>
      <c r="K426" s="11">
        <v>43791</v>
      </c>
      <c r="L426">
        <f>_xlfn.XLOOKUP(Table2[[#This Row],[Nest_box_ID]],Sheet1!A:A,Sheet1!K:K, "No Match")</f>
        <v>15</v>
      </c>
      <c r="M426" s="11">
        <v>43783</v>
      </c>
      <c r="N426" s="16">
        <v>0.45693287037037039</v>
      </c>
      <c r="O426">
        <v>7</v>
      </c>
      <c r="P426">
        <v>59</v>
      </c>
      <c r="Q426" t="s">
        <v>319</v>
      </c>
      <c r="R426">
        <v>317</v>
      </c>
      <c r="S426">
        <f>_xlfn.XLOOKUP(Table2[[#This Row],[Obs_date]],'19-20_niwa_temp_data'!B:B,'19-20_niwa_temp_data'!G:G, "N/A")</f>
        <v>16.095962226595837</v>
      </c>
      <c r="T426">
        <f>_xlfn.XLOOKUP(Table2[[#This Row],[First_egg_lay_date]],'19-20_niwa_temp_data'!B:B,'19-20_niwa_temp_data'!G:G, "No Match")</f>
        <v>15.4</v>
      </c>
    </row>
    <row r="427" spans="1:20" hidden="1" x14ac:dyDescent="0.35">
      <c r="A427" t="s">
        <v>9</v>
      </c>
      <c r="B427" t="s">
        <v>22</v>
      </c>
      <c r="C427" s="3" t="s">
        <v>111</v>
      </c>
      <c r="D427" t="str">
        <f>_xlfn.XLOOKUP(Table2[[#This Row],[Female_ID ]],'19-20_female_cohort'!I:I,'19-20_female_cohort'!H:H, "No Match")</f>
        <v>2016/2017</v>
      </c>
      <c r="E427">
        <v>3</v>
      </c>
      <c r="F427" s="11">
        <v>43773</v>
      </c>
      <c r="G427">
        <f>_xlfn.XLOOKUP(Table2[[#This Row],[First_egg_lay_date]],'19-20_niwa_temp_data'!B:B,'19-20_niwa_temp_data'!G:G, "No Match")</f>
        <v>15.4</v>
      </c>
      <c r="H427">
        <v>4</v>
      </c>
      <c r="I427" s="11">
        <v>43776</v>
      </c>
      <c r="J427">
        <f>_xlfn.XLOOKUP(Table2[[#This Row],[Nest_box_ID]],Sheet1!A:A,Sheet1!L:L, "No Match")</f>
        <v>0</v>
      </c>
      <c r="K427" s="11">
        <v>43791</v>
      </c>
      <c r="L427">
        <f>_xlfn.XLOOKUP(Table2[[#This Row],[Nest_box_ID]],Sheet1!A:A,Sheet1!K:K, "No Match")</f>
        <v>15</v>
      </c>
      <c r="M427" s="11">
        <v>43783</v>
      </c>
      <c r="N427" s="16">
        <v>0.46060185185185187</v>
      </c>
      <c r="O427">
        <v>7</v>
      </c>
      <c r="P427">
        <v>59</v>
      </c>
      <c r="Q427" t="s">
        <v>320</v>
      </c>
      <c r="R427">
        <v>896</v>
      </c>
      <c r="S427">
        <f>_xlfn.XLOOKUP(Table2[[#This Row],[Obs_date]],'19-20_niwa_temp_data'!B:B,'19-20_niwa_temp_data'!G:G, "N/A")</f>
        <v>16.095962226595837</v>
      </c>
      <c r="T427">
        <f>_xlfn.XLOOKUP(Table2[[#This Row],[First_egg_lay_date]],'19-20_niwa_temp_data'!B:B,'19-20_niwa_temp_data'!G:G, "No Match")</f>
        <v>15.4</v>
      </c>
    </row>
    <row r="428" spans="1:20" x14ac:dyDescent="0.35">
      <c r="A428" t="s">
        <v>9</v>
      </c>
      <c r="B428" t="s">
        <v>22</v>
      </c>
      <c r="C428" s="3" t="s">
        <v>111</v>
      </c>
      <c r="D428" t="str">
        <f>_xlfn.XLOOKUP(Table2[[#This Row],[Female_ID ]],'19-20_female_cohort'!I:I,'19-20_female_cohort'!H:H, "No Match")</f>
        <v>2016/2017</v>
      </c>
      <c r="E428">
        <v>3</v>
      </c>
      <c r="F428" s="11">
        <v>43773</v>
      </c>
      <c r="G428">
        <f>_xlfn.XLOOKUP(Table2[[#This Row],[First_egg_lay_date]],'19-20_niwa_temp_data'!B:B,'19-20_niwa_temp_data'!G:G, "No Match")</f>
        <v>15.4</v>
      </c>
      <c r="H428">
        <v>4</v>
      </c>
      <c r="I428" s="11">
        <v>43776</v>
      </c>
      <c r="J428">
        <f>_xlfn.XLOOKUP(Table2[[#This Row],[Nest_box_ID]],Sheet1!A:A,Sheet1!L:L, "No Match")</f>
        <v>0</v>
      </c>
      <c r="K428" s="11">
        <v>43791</v>
      </c>
      <c r="L428">
        <f>_xlfn.XLOOKUP(Table2[[#This Row],[Nest_box_ID]],Sheet1!A:A,Sheet1!K:K, "No Match")</f>
        <v>15</v>
      </c>
      <c r="M428" s="11">
        <v>43783</v>
      </c>
      <c r="N428" s="16">
        <v>0.47097222222222224</v>
      </c>
      <c r="O428">
        <v>7</v>
      </c>
      <c r="P428">
        <v>59</v>
      </c>
      <c r="Q428" t="s">
        <v>319</v>
      </c>
      <c r="R428">
        <v>379</v>
      </c>
      <c r="S428">
        <f>_xlfn.XLOOKUP(Table2[[#This Row],[Obs_date]],'19-20_niwa_temp_data'!B:B,'19-20_niwa_temp_data'!G:G, "N/A")</f>
        <v>16.095962226595837</v>
      </c>
      <c r="T428">
        <f>_xlfn.XLOOKUP(Table2[[#This Row],[First_egg_lay_date]],'19-20_niwa_temp_data'!B:B,'19-20_niwa_temp_data'!G:G, "No Match")</f>
        <v>15.4</v>
      </c>
    </row>
    <row r="429" spans="1:20" hidden="1" x14ac:dyDescent="0.35">
      <c r="A429" t="s">
        <v>9</v>
      </c>
      <c r="B429" t="s">
        <v>22</v>
      </c>
      <c r="C429" s="3" t="s">
        <v>111</v>
      </c>
      <c r="D429" t="str">
        <f>_xlfn.XLOOKUP(Table2[[#This Row],[Female_ID ]],'19-20_female_cohort'!I:I,'19-20_female_cohort'!H:H, "No Match")</f>
        <v>2016/2017</v>
      </c>
      <c r="E429">
        <v>3</v>
      </c>
      <c r="F429" s="11">
        <v>43773</v>
      </c>
      <c r="G429">
        <f>_xlfn.XLOOKUP(Table2[[#This Row],[First_egg_lay_date]],'19-20_niwa_temp_data'!B:B,'19-20_niwa_temp_data'!G:G, "No Match")</f>
        <v>15.4</v>
      </c>
      <c r="H429">
        <v>4</v>
      </c>
      <c r="I429" s="11">
        <v>43776</v>
      </c>
      <c r="J429">
        <f>_xlfn.XLOOKUP(Table2[[#This Row],[Nest_box_ID]],Sheet1!A:A,Sheet1!L:L, "No Match")</f>
        <v>0</v>
      </c>
      <c r="K429" s="11">
        <v>43791</v>
      </c>
      <c r="L429">
        <f>_xlfn.XLOOKUP(Table2[[#This Row],[Nest_box_ID]],Sheet1!A:A,Sheet1!K:K, "No Match")</f>
        <v>15</v>
      </c>
      <c r="M429" s="11">
        <v>43783</v>
      </c>
      <c r="N429" s="16">
        <v>0.47535879629629629</v>
      </c>
      <c r="O429">
        <v>7</v>
      </c>
      <c r="P429">
        <v>59</v>
      </c>
      <c r="Q429" t="s">
        <v>320</v>
      </c>
      <c r="R429" t="s">
        <v>254</v>
      </c>
      <c r="S429">
        <f>_xlfn.XLOOKUP(Table2[[#This Row],[Obs_date]],'19-20_niwa_temp_data'!B:B,'19-20_niwa_temp_data'!G:G, "N/A")</f>
        <v>16.095962226595837</v>
      </c>
      <c r="T429">
        <f>_xlfn.XLOOKUP(Table2[[#This Row],[First_egg_lay_date]],'19-20_niwa_temp_data'!B:B,'19-20_niwa_temp_data'!G:G, "No Match")</f>
        <v>15.4</v>
      </c>
    </row>
    <row r="430" spans="1:20" x14ac:dyDescent="0.35">
      <c r="A430" t="s">
        <v>9</v>
      </c>
      <c r="B430" t="s">
        <v>22</v>
      </c>
      <c r="C430" s="3" t="s">
        <v>111</v>
      </c>
      <c r="D430" t="str">
        <f>_xlfn.XLOOKUP(Table2[[#This Row],[Female_ID ]],'19-20_female_cohort'!I:I,'19-20_female_cohort'!H:H, "No Match")</f>
        <v>2016/2017</v>
      </c>
      <c r="E430">
        <v>3</v>
      </c>
      <c r="F430" s="11">
        <v>43773</v>
      </c>
      <c r="G430">
        <f>_xlfn.XLOOKUP(Table2[[#This Row],[First_egg_lay_date]],'19-20_niwa_temp_data'!B:B,'19-20_niwa_temp_data'!G:G, "No Match")</f>
        <v>15.4</v>
      </c>
      <c r="H430">
        <v>4</v>
      </c>
      <c r="I430" s="11">
        <v>43776</v>
      </c>
      <c r="J430">
        <f>_xlfn.XLOOKUP(Table2[[#This Row],[Nest_box_ID]],Sheet1!A:A,Sheet1!L:L, "No Match")</f>
        <v>0</v>
      </c>
      <c r="K430" s="11">
        <v>43791</v>
      </c>
      <c r="L430">
        <f>_xlfn.XLOOKUP(Table2[[#This Row],[Nest_box_ID]],Sheet1!A:A,Sheet1!K:K, "No Match")</f>
        <v>15</v>
      </c>
      <c r="M430" s="11">
        <v>43789</v>
      </c>
      <c r="N430" s="16">
        <v>0.52638888888888891</v>
      </c>
      <c r="O430">
        <v>13</v>
      </c>
      <c r="P430">
        <v>70</v>
      </c>
      <c r="Q430" t="s">
        <v>319</v>
      </c>
      <c r="R430">
        <v>632</v>
      </c>
      <c r="S430">
        <f>_xlfn.XLOOKUP(Table2[[#This Row],[Obs_date]],'19-20_niwa_temp_data'!B:B,'19-20_niwa_temp_data'!G:G, "N/A")</f>
        <v>13.516656391282572</v>
      </c>
      <c r="T430">
        <f>_xlfn.XLOOKUP(Table2[[#This Row],[First_egg_lay_date]],'19-20_niwa_temp_data'!B:B,'19-20_niwa_temp_data'!G:G, "No Match")</f>
        <v>15.4</v>
      </c>
    </row>
    <row r="431" spans="1:20" hidden="1" x14ac:dyDescent="0.35">
      <c r="A431" t="s">
        <v>9</v>
      </c>
      <c r="B431" t="s">
        <v>22</v>
      </c>
      <c r="C431" s="3" t="s">
        <v>111</v>
      </c>
      <c r="D431" t="str">
        <f>_xlfn.XLOOKUP(Table2[[#This Row],[Female_ID ]],'19-20_female_cohort'!I:I,'19-20_female_cohort'!H:H, "No Match")</f>
        <v>2016/2017</v>
      </c>
      <c r="E431">
        <v>3</v>
      </c>
      <c r="F431" s="11">
        <v>43773</v>
      </c>
      <c r="G431">
        <f>_xlfn.XLOOKUP(Table2[[#This Row],[First_egg_lay_date]],'19-20_niwa_temp_data'!B:B,'19-20_niwa_temp_data'!G:G, "No Match")</f>
        <v>15.4</v>
      </c>
      <c r="H431">
        <v>4</v>
      </c>
      <c r="I431" s="11">
        <v>43776</v>
      </c>
      <c r="J431">
        <f>_xlfn.XLOOKUP(Table2[[#This Row],[Nest_box_ID]],Sheet1!A:A,Sheet1!L:L, "No Match")</f>
        <v>0</v>
      </c>
      <c r="K431" s="11">
        <v>43791</v>
      </c>
      <c r="L431">
        <f>_xlfn.XLOOKUP(Table2[[#This Row],[Nest_box_ID]],Sheet1!A:A,Sheet1!K:K, "No Match")</f>
        <v>15</v>
      </c>
      <c r="M431" s="11">
        <v>43789</v>
      </c>
      <c r="N431" s="16">
        <v>0.53370370370370368</v>
      </c>
      <c r="O431">
        <v>13</v>
      </c>
      <c r="P431">
        <v>70</v>
      </c>
      <c r="Q431" t="s">
        <v>320</v>
      </c>
      <c r="R431" t="s">
        <v>254</v>
      </c>
      <c r="S431">
        <f>_xlfn.XLOOKUP(Table2[[#This Row],[Obs_date]],'19-20_niwa_temp_data'!B:B,'19-20_niwa_temp_data'!G:G, "N/A")</f>
        <v>13.516656391282572</v>
      </c>
      <c r="T431">
        <f>_xlfn.XLOOKUP(Table2[[#This Row],[First_egg_lay_date]],'19-20_niwa_temp_data'!B:B,'19-20_niwa_temp_data'!G:G, "No Match")</f>
        <v>15.4</v>
      </c>
    </row>
    <row r="432" spans="1:20" hidden="1" x14ac:dyDescent="0.35">
      <c r="A432" t="s">
        <v>9</v>
      </c>
      <c r="B432" t="s">
        <v>44</v>
      </c>
      <c r="C432" s="3" t="s">
        <v>133</v>
      </c>
      <c r="D432" t="str">
        <f>_xlfn.XLOOKUP(Table2[[#This Row],[Female_ID ]],'19-20_female_cohort'!I:I,'19-20_female_cohort'!H:H, "No Match")</f>
        <v>2017/2018</v>
      </c>
      <c r="E432">
        <v>2</v>
      </c>
      <c r="F432" s="11">
        <v>43780</v>
      </c>
      <c r="G432">
        <f>_xlfn.XLOOKUP(Table2[[#This Row],[First_egg_lay_date]],'19-20_niwa_temp_data'!B:B,'19-20_niwa_temp_data'!G:G, "No Match")</f>
        <v>15.469970911414153</v>
      </c>
      <c r="H432">
        <v>4</v>
      </c>
      <c r="I432" s="11">
        <v>43783</v>
      </c>
      <c r="J432">
        <f>_xlfn.XLOOKUP(Table2[[#This Row],[Nest_box_ID]],Sheet1!A:A,Sheet1!L:L, "No Match")</f>
        <v>0</v>
      </c>
      <c r="K432" s="11">
        <v>43798</v>
      </c>
      <c r="L432">
        <f>_xlfn.XLOOKUP(Table2[[#This Row],[Nest_box_ID]],Sheet1!A:A,Sheet1!K:K, "No Match")</f>
        <v>15</v>
      </c>
      <c r="M432" s="11">
        <v>43790</v>
      </c>
      <c r="N432" s="16">
        <v>0.62609953703703702</v>
      </c>
      <c r="O432">
        <v>7</v>
      </c>
      <c r="P432">
        <v>0</v>
      </c>
      <c r="Q432" t="s">
        <v>320</v>
      </c>
      <c r="R432">
        <v>926</v>
      </c>
      <c r="S432">
        <f>_xlfn.XLOOKUP(Table2[[#This Row],[Obs_date]],'19-20_niwa_temp_data'!B:B,'19-20_niwa_temp_data'!G:G, "N/A")</f>
        <v>16.25176913446656</v>
      </c>
      <c r="T432">
        <f>_xlfn.XLOOKUP(Table2[[#This Row],[First_egg_lay_date]],'19-20_niwa_temp_data'!B:B,'19-20_niwa_temp_data'!G:G, "No Match")</f>
        <v>15.469970911414153</v>
      </c>
    </row>
    <row r="433" spans="1:20" hidden="1" x14ac:dyDescent="0.35">
      <c r="A433" t="s">
        <v>9</v>
      </c>
      <c r="B433" t="s">
        <v>44</v>
      </c>
      <c r="C433" s="3" t="s">
        <v>133</v>
      </c>
      <c r="D433" t="str">
        <f>_xlfn.XLOOKUP(Table2[[#This Row],[Female_ID ]],'19-20_female_cohort'!I:I,'19-20_female_cohort'!H:H, "No Match")</f>
        <v>2017/2018</v>
      </c>
      <c r="E433">
        <v>2</v>
      </c>
      <c r="F433" s="11">
        <v>43780</v>
      </c>
      <c r="G433">
        <f>_xlfn.XLOOKUP(Table2[[#This Row],[First_egg_lay_date]],'19-20_niwa_temp_data'!B:B,'19-20_niwa_temp_data'!G:G, "No Match")</f>
        <v>15.469970911414153</v>
      </c>
      <c r="H433">
        <v>4</v>
      </c>
      <c r="I433" s="11">
        <v>43783</v>
      </c>
      <c r="J433">
        <f>_xlfn.XLOOKUP(Table2[[#This Row],[Nest_box_ID]],Sheet1!A:A,Sheet1!L:L, "No Match")</f>
        <v>0</v>
      </c>
      <c r="K433" s="11">
        <v>43798</v>
      </c>
      <c r="L433">
        <f>_xlfn.XLOOKUP(Table2[[#This Row],[Nest_box_ID]],Sheet1!A:A,Sheet1!K:K, "No Match")</f>
        <v>15</v>
      </c>
      <c r="M433" s="11">
        <v>43790</v>
      </c>
      <c r="N433" s="16">
        <v>0.63681712962962966</v>
      </c>
      <c r="O433">
        <v>7</v>
      </c>
      <c r="P433">
        <v>0</v>
      </c>
      <c r="Q433" t="s">
        <v>320</v>
      </c>
      <c r="R433">
        <v>315</v>
      </c>
      <c r="S433">
        <f>_xlfn.XLOOKUP(Table2[[#This Row],[Obs_date]],'19-20_niwa_temp_data'!B:B,'19-20_niwa_temp_data'!G:G, "N/A")</f>
        <v>16.25176913446656</v>
      </c>
      <c r="T433">
        <f>_xlfn.XLOOKUP(Table2[[#This Row],[First_egg_lay_date]],'19-20_niwa_temp_data'!B:B,'19-20_niwa_temp_data'!G:G, "No Match")</f>
        <v>15.469970911414153</v>
      </c>
    </row>
    <row r="434" spans="1:20" x14ac:dyDescent="0.35">
      <c r="A434" t="s">
        <v>9</v>
      </c>
      <c r="B434" t="s">
        <v>44</v>
      </c>
      <c r="C434" s="3" t="s">
        <v>133</v>
      </c>
      <c r="D434" t="str">
        <f>_xlfn.XLOOKUP(Table2[[#This Row],[Female_ID ]],'19-20_female_cohort'!I:I,'19-20_female_cohort'!H:H, "No Match")</f>
        <v>2017/2018</v>
      </c>
      <c r="E434">
        <v>2</v>
      </c>
      <c r="F434" s="11">
        <v>43780</v>
      </c>
      <c r="G434">
        <f>_xlfn.XLOOKUP(Table2[[#This Row],[First_egg_lay_date]],'19-20_niwa_temp_data'!B:B,'19-20_niwa_temp_data'!G:G, "No Match")</f>
        <v>15.469970911414153</v>
      </c>
      <c r="H434">
        <v>4</v>
      </c>
      <c r="I434" s="11">
        <v>43783</v>
      </c>
      <c r="J434">
        <f>_xlfn.XLOOKUP(Table2[[#This Row],[Nest_box_ID]],Sheet1!A:A,Sheet1!L:L, "No Match")</f>
        <v>0</v>
      </c>
      <c r="K434" s="11">
        <v>43798</v>
      </c>
      <c r="L434">
        <f>_xlfn.XLOOKUP(Table2[[#This Row],[Nest_box_ID]],Sheet1!A:A,Sheet1!K:K, "No Match")</f>
        <v>15</v>
      </c>
      <c r="M434" s="11">
        <v>43790</v>
      </c>
      <c r="N434" s="16">
        <v>0.64046296296296301</v>
      </c>
      <c r="O434">
        <v>7</v>
      </c>
      <c r="P434">
        <v>0</v>
      </c>
      <c r="Q434" t="s">
        <v>319</v>
      </c>
      <c r="R434">
        <v>125</v>
      </c>
      <c r="S434">
        <f>_xlfn.XLOOKUP(Table2[[#This Row],[Obs_date]],'19-20_niwa_temp_data'!B:B,'19-20_niwa_temp_data'!G:G, "N/A")</f>
        <v>16.25176913446656</v>
      </c>
      <c r="T434">
        <f>_xlfn.XLOOKUP(Table2[[#This Row],[First_egg_lay_date]],'19-20_niwa_temp_data'!B:B,'19-20_niwa_temp_data'!G:G, "No Match")</f>
        <v>15.469970911414153</v>
      </c>
    </row>
    <row r="435" spans="1:20" hidden="1" x14ac:dyDescent="0.35">
      <c r="A435" t="s">
        <v>9</v>
      </c>
      <c r="B435" t="s">
        <v>44</v>
      </c>
      <c r="C435" s="3" t="s">
        <v>133</v>
      </c>
      <c r="D435" t="str">
        <f>_xlfn.XLOOKUP(Table2[[#This Row],[Female_ID ]],'19-20_female_cohort'!I:I,'19-20_female_cohort'!H:H, "No Match")</f>
        <v>2017/2018</v>
      </c>
      <c r="E435">
        <v>2</v>
      </c>
      <c r="F435" s="11">
        <v>43780</v>
      </c>
      <c r="G435">
        <f>_xlfn.XLOOKUP(Table2[[#This Row],[First_egg_lay_date]],'19-20_niwa_temp_data'!B:B,'19-20_niwa_temp_data'!G:G, "No Match")</f>
        <v>15.469970911414153</v>
      </c>
      <c r="H435">
        <v>4</v>
      </c>
      <c r="I435" s="11">
        <v>43783</v>
      </c>
      <c r="J435">
        <f>_xlfn.XLOOKUP(Table2[[#This Row],[Nest_box_ID]],Sheet1!A:A,Sheet1!L:L, "No Match")</f>
        <v>0</v>
      </c>
      <c r="K435" s="11">
        <v>43798</v>
      </c>
      <c r="L435">
        <f>_xlfn.XLOOKUP(Table2[[#This Row],[Nest_box_ID]],Sheet1!A:A,Sheet1!K:K, "No Match")</f>
        <v>15</v>
      </c>
      <c r="M435" s="11">
        <v>43790</v>
      </c>
      <c r="N435" s="16">
        <v>0.6419097222222222</v>
      </c>
      <c r="O435">
        <v>7</v>
      </c>
      <c r="P435">
        <v>0</v>
      </c>
      <c r="Q435" t="s">
        <v>320</v>
      </c>
      <c r="R435">
        <v>339</v>
      </c>
      <c r="S435">
        <f>_xlfn.XLOOKUP(Table2[[#This Row],[Obs_date]],'19-20_niwa_temp_data'!B:B,'19-20_niwa_temp_data'!G:G, "N/A")</f>
        <v>16.25176913446656</v>
      </c>
      <c r="T435">
        <f>_xlfn.XLOOKUP(Table2[[#This Row],[First_egg_lay_date]],'19-20_niwa_temp_data'!B:B,'19-20_niwa_temp_data'!G:G, "No Match")</f>
        <v>15.469970911414153</v>
      </c>
    </row>
    <row r="436" spans="1:20" x14ac:dyDescent="0.35">
      <c r="A436" t="s">
        <v>9</v>
      </c>
      <c r="B436" t="s">
        <v>44</v>
      </c>
      <c r="C436" s="3" t="s">
        <v>133</v>
      </c>
      <c r="D436" t="str">
        <f>_xlfn.XLOOKUP(Table2[[#This Row],[Female_ID ]],'19-20_female_cohort'!I:I,'19-20_female_cohort'!H:H, "No Match")</f>
        <v>2017/2018</v>
      </c>
      <c r="E436">
        <v>2</v>
      </c>
      <c r="F436" s="11">
        <v>43780</v>
      </c>
      <c r="G436">
        <f>_xlfn.XLOOKUP(Table2[[#This Row],[First_egg_lay_date]],'19-20_niwa_temp_data'!B:B,'19-20_niwa_temp_data'!G:G, "No Match")</f>
        <v>15.469970911414153</v>
      </c>
      <c r="H436">
        <v>4</v>
      </c>
      <c r="I436" s="11">
        <v>43783</v>
      </c>
      <c r="J436">
        <f>_xlfn.XLOOKUP(Table2[[#This Row],[Nest_box_ID]],Sheet1!A:A,Sheet1!L:L, "No Match")</f>
        <v>0</v>
      </c>
      <c r="K436" s="11">
        <v>43798</v>
      </c>
      <c r="L436">
        <f>_xlfn.XLOOKUP(Table2[[#This Row],[Nest_box_ID]],Sheet1!A:A,Sheet1!K:K, "No Match")</f>
        <v>15</v>
      </c>
      <c r="M436" s="11">
        <v>43790</v>
      </c>
      <c r="N436" s="16">
        <v>0.64583333333333337</v>
      </c>
      <c r="O436">
        <v>7</v>
      </c>
      <c r="P436">
        <v>0</v>
      </c>
      <c r="Q436" t="s">
        <v>319</v>
      </c>
      <c r="R436">
        <v>250</v>
      </c>
      <c r="S436">
        <f>_xlfn.XLOOKUP(Table2[[#This Row],[Obs_date]],'19-20_niwa_temp_data'!B:B,'19-20_niwa_temp_data'!G:G, "N/A")</f>
        <v>16.25176913446656</v>
      </c>
      <c r="T436">
        <f>_xlfn.XLOOKUP(Table2[[#This Row],[First_egg_lay_date]],'19-20_niwa_temp_data'!B:B,'19-20_niwa_temp_data'!G:G, "No Match")</f>
        <v>15.469970911414153</v>
      </c>
    </row>
    <row r="437" spans="1:20" hidden="1" x14ac:dyDescent="0.35">
      <c r="A437" t="s">
        <v>9</v>
      </c>
      <c r="B437" t="s">
        <v>44</v>
      </c>
      <c r="C437" s="3" t="s">
        <v>133</v>
      </c>
      <c r="D437" t="str">
        <f>_xlfn.XLOOKUP(Table2[[#This Row],[Female_ID ]],'19-20_female_cohort'!I:I,'19-20_female_cohort'!H:H, "No Match")</f>
        <v>2017/2018</v>
      </c>
      <c r="E437">
        <v>2</v>
      </c>
      <c r="F437" s="11">
        <v>43780</v>
      </c>
      <c r="G437">
        <f>_xlfn.XLOOKUP(Table2[[#This Row],[First_egg_lay_date]],'19-20_niwa_temp_data'!B:B,'19-20_niwa_temp_data'!G:G, "No Match")</f>
        <v>15.469970911414153</v>
      </c>
      <c r="H437">
        <v>4</v>
      </c>
      <c r="I437" s="11">
        <v>43783</v>
      </c>
      <c r="J437">
        <f>_xlfn.XLOOKUP(Table2[[#This Row],[Nest_box_ID]],Sheet1!A:A,Sheet1!L:L, "No Match")</f>
        <v>0</v>
      </c>
      <c r="K437" s="11">
        <v>43798</v>
      </c>
      <c r="L437">
        <f>_xlfn.XLOOKUP(Table2[[#This Row],[Nest_box_ID]],Sheet1!A:A,Sheet1!K:K, "No Match")</f>
        <v>15</v>
      </c>
      <c r="M437" s="11">
        <v>43790</v>
      </c>
      <c r="N437" s="16">
        <v>0.64872685185185186</v>
      </c>
      <c r="O437">
        <v>7</v>
      </c>
      <c r="P437">
        <v>0</v>
      </c>
      <c r="Q437" t="s">
        <v>320</v>
      </c>
      <c r="R437">
        <v>290</v>
      </c>
      <c r="S437">
        <f>_xlfn.XLOOKUP(Table2[[#This Row],[Obs_date]],'19-20_niwa_temp_data'!B:B,'19-20_niwa_temp_data'!G:G, "N/A")</f>
        <v>16.25176913446656</v>
      </c>
      <c r="T437">
        <f>_xlfn.XLOOKUP(Table2[[#This Row],[First_egg_lay_date]],'19-20_niwa_temp_data'!B:B,'19-20_niwa_temp_data'!G:G, "No Match")</f>
        <v>15.469970911414153</v>
      </c>
    </row>
    <row r="438" spans="1:20" hidden="1" x14ac:dyDescent="0.35">
      <c r="A438" t="s">
        <v>9</v>
      </c>
      <c r="B438" t="s">
        <v>44</v>
      </c>
      <c r="C438" s="3" t="s">
        <v>133</v>
      </c>
      <c r="D438" t="str">
        <f>_xlfn.XLOOKUP(Table2[[#This Row],[Female_ID ]],'19-20_female_cohort'!I:I,'19-20_female_cohort'!H:H, "No Match")</f>
        <v>2017/2018</v>
      </c>
      <c r="E438">
        <v>2</v>
      </c>
      <c r="F438" s="11">
        <v>43780</v>
      </c>
      <c r="G438">
        <f>_xlfn.XLOOKUP(Table2[[#This Row],[First_egg_lay_date]],'19-20_niwa_temp_data'!B:B,'19-20_niwa_temp_data'!G:G, "No Match")</f>
        <v>15.469970911414153</v>
      </c>
      <c r="H438">
        <v>4</v>
      </c>
      <c r="I438" s="11">
        <v>43783</v>
      </c>
      <c r="J438">
        <f>_xlfn.XLOOKUP(Table2[[#This Row],[Nest_box_ID]],Sheet1!A:A,Sheet1!L:L, "No Match")</f>
        <v>0</v>
      </c>
      <c r="K438" s="11">
        <v>43798</v>
      </c>
      <c r="L438">
        <f>_xlfn.XLOOKUP(Table2[[#This Row],[Nest_box_ID]],Sheet1!A:A,Sheet1!K:K, "No Match")</f>
        <v>15</v>
      </c>
      <c r="M438" s="11">
        <v>43790</v>
      </c>
      <c r="N438" s="16">
        <v>0.65208333333333335</v>
      </c>
      <c r="O438">
        <v>7</v>
      </c>
      <c r="P438">
        <v>0</v>
      </c>
      <c r="Q438" t="s">
        <v>319</v>
      </c>
      <c r="R438" t="s">
        <v>254</v>
      </c>
      <c r="S438">
        <f>_xlfn.XLOOKUP(Table2[[#This Row],[Obs_date]],'19-20_niwa_temp_data'!B:B,'19-20_niwa_temp_data'!G:G, "N/A")</f>
        <v>16.25176913446656</v>
      </c>
      <c r="T438">
        <f>_xlfn.XLOOKUP(Table2[[#This Row],[First_egg_lay_date]],'19-20_niwa_temp_data'!B:B,'19-20_niwa_temp_data'!G:G, "No Match")</f>
        <v>15.469970911414153</v>
      </c>
    </row>
    <row r="439" spans="1:20" hidden="1" x14ac:dyDescent="0.35">
      <c r="A439" t="s">
        <v>9</v>
      </c>
      <c r="B439" t="s">
        <v>44</v>
      </c>
      <c r="C439" s="3" t="s">
        <v>133</v>
      </c>
      <c r="D439" t="str">
        <f>_xlfn.XLOOKUP(Table2[[#This Row],[Female_ID ]],'19-20_female_cohort'!I:I,'19-20_female_cohort'!H:H, "No Match")</f>
        <v>2017/2018</v>
      </c>
      <c r="E439">
        <v>2</v>
      </c>
      <c r="F439" s="11">
        <v>43780</v>
      </c>
      <c r="G439">
        <f>_xlfn.XLOOKUP(Table2[[#This Row],[First_egg_lay_date]],'19-20_niwa_temp_data'!B:B,'19-20_niwa_temp_data'!G:G, "No Match")</f>
        <v>15.469970911414153</v>
      </c>
      <c r="H439">
        <v>4</v>
      </c>
      <c r="I439" s="11">
        <v>43783</v>
      </c>
      <c r="J439">
        <f>_xlfn.XLOOKUP(Table2[[#This Row],[Nest_box_ID]],Sheet1!A:A,Sheet1!L:L, "No Match")</f>
        <v>0</v>
      </c>
      <c r="K439" s="11">
        <v>43798</v>
      </c>
      <c r="L439">
        <f>_xlfn.XLOOKUP(Table2[[#This Row],[Nest_box_ID]],Sheet1!A:A,Sheet1!K:K, "No Match")</f>
        <v>15</v>
      </c>
      <c r="M439" s="11">
        <v>43796</v>
      </c>
      <c r="N439" s="16">
        <v>0.45939814814814817</v>
      </c>
      <c r="O439">
        <v>13</v>
      </c>
      <c r="P439">
        <v>61</v>
      </c>
      <c r="Q439" t="s">
        <v>320</v>
      </c>
      <c r="R439">
        <v>510</v>
      </c>
      <c r="S439">
        <f>_xlfn.XLOOKUP(Table2[[#This Row],[Obs_date]],'19-20_niwa_temp_data'!B:B,'19-20_niwa_temp_data'!G:G, "N/A")</f>
        <v>17.287857010051884</v>
      </c>
      <c r="T439">
        <f>_xlfn.XLOOKUP(Table2[[#This Row],[First_egg_lay_date]],'19-20_niwa_temp_data'!B:B,'19-20_niwa_temp_data'!G:G, "No Match")</f>
        <v>15.469970911414153</v>
      </c>
    </row>
    <row r="440" spans="1:20" x14ac:dyDescent="0.35">
      <c r="A440" t="s">
        <v>9</v>
      </c>
      <c r="B440" t="s">
        <v>44</v>
      </c>
      <c r="C440" s="3" t="s">
        <v>133</v>
      </c>
      <c r="D440" t="str">
        <f>_xlfn.XLOOKUP(Table2[[#This Row],[Female_ID ]],'19-20_female_cohort'!I:I,'19-20_female_cohort'!H:H, "No Match")</f>
        <v>2017/2018</v>
      </c>
      <c r="E440">
        <v>2</v>
      </c>
      <c r="F440" s="11">
        <v>43780</v>
      </c>
      <c r="G440">
        <f>_xlfn.XLOOKUP(Table2[[#This Row],[First_egg_lay_date]],'19-20_niwa_temp_data'!B:B,'19-20_niwa_temp_data'!G:G, "No Match")</f>
        <v>15.469970911414153</v>
      </c>
      <c r="H440">
        <v>4</v>
      </c>
      <c r="I440" s="11">
        <v>43783</v>
      </c>
      <c r="J440">
        <f>_xlfn.XLOOKUP(Table2[[#This Row],[Nest_box_ID]],Sheet1!A:A,Sheet1!L:L, "No Match")</f>
        <v>0</v>
      </c>
      <c r="K440" s="11">
        <v>43798</v>
      </c>
      <c r="L440">
        <f>_xlfn.XLOOKUP(Table2[[#This Row],[Nest_box_ID]],Sheet1!A:A,Sheet1!K:K, "No Match")</f>
        <v>15</v>
      </c>
      <c r="M440" s="11">
        <v>43796</v>
      </c>
      <c r="N440" s="16">
        <v>0.46530092592592592</v>
      </c>
      <c r="O440">
        <v>13</v>
      </c>
      <c r="P440">
        <v>61</v>
      </c>
      <c r="Q440" t="s">
        <v>319</v>
      </c>
      <c r="R440">
        <v>349</v>
      </c>
      <c r="S440">
        <f>_xlfn.XLOOKUP(Table2[[#This Row],[Obs_date]],'19-20_niwa_temp_data'!B:B,'19-20_niwa_temp_data'!G:G, "N/A")</f>
        <v>17.287857010051884</v>
      </c>
      <c r="T440">
        <f>_xlfn.XLOOKUP(Table2[[#This Row],[First_egg_lay_date]],'19-20_niwa_temp_data'!B:B,'19-20_niwa_temp_data'!G:G, "No Match")</f>
        <v>15.469970911414153</v>
      </c>
    </row>
    <row r="441" spans="1:20" hidden="1" x14ac:dyDescent="0.35">
      <c r="A441" t="s">
        <v>9</v>
      </c>
      <c r="B441" t="s">
        <v>44</v>
      </c>
      <c r="C441" s="3" t="s">
        <v>133</v>
      </c>
      <c r="D441" t="str">
        <f>_xlfn.XLOOKUP(Table2[[#This Row],[Female_ID ]],'19-20_female_cohort'!I:I,'19-20_female_cohort'!H:H, "No Match")</f>
        <v>2017/2018</v>
      </c>
      <c r="E441">
        <v>2</v>
      </c>
      <c r="F441" s="11">
        <v>43780</v>
      </c>
      <c r="G441">
        <f>_xlfn.XLOOKUP(Table2[[#This Row],[First_egg_lay_date]],'19-20_niwa_temp_data'!B:B,'19-20_niwa_temp_data'!G:G, "No Match")</f>
        <v>15.469970911414153</v>
      </c>
      <c r="H441">
        <v>4</v>
      </c>
      <c r="I441" s="11">
        <v>43783</v>
      </c>
      <c r="J441">
        <f>_xlfn.XLOOKUP(Table2[[#This Row],[Nest_box_ID]],Sheet1!A:A,Sheet1!L:L, "No Match")</f>
        <v>0</v>
      </c>
      <c r="K441" s="11">
        <v>43798</v>
      </c>
      <c r="L441">
        <f>_xlfn.XLOOKUP(Table2[[#This Row],[Nest_box_ID]],Sheet1!A:A,Sheet1!K:K, "No Match")</f>
        <v>15</v>
      </c>
      <c r="M441" s="11">
        <v>43796</v>
      </c>
      <c r="N441" s="16">
        <v>0.46934027777777776</v>
      </c>
      <c r="O441">
        <v>13</v>
      </c>
      <c r="P441">
        <v>61</v>
      </c>
      <c r="Q441" t="s">
        <v>320</v>
      </c>
      <c r="R441">
        <v>256</v>
      </c>
      <c r="S441">
        <f>_xlfn.XLOOKUP(Table2[[#This Row],[Obs_date]],'19-20_niwa_temp_data'!B:B,'19-20_niwa_temp_data'!G:G, "N/A")</f>
        <v>17.287857010051884</v>
      </c>
      <c r="T441">
        <f>_xlfn.XLOOKUP(Table2[[#This Row],[First_egg_lay_date]],'19-20_niwa_temp_data'!B:B,'19-20_niwa_temp_data'!G:G, "No Match")</f>
        <v>15.469970911414153</v>
      </c>
    </row>
    <row r="442" spans="1:20" x14ac:dyDescent="0.35">
      <c r="A442" t="s">
        <v>9</v>
      </c>
      <c r="B442" t="s">
        <v>44</v>
      </c>
      <c r="C442" s="3" t="s">
        <v>133</v>
      </c>
      <c r="D442" t="str">
        <f>_xlfn.XLOOKUP(Table2[[#This Row],[Female_ID ]],'19-20_female_cohort'!I:I,'19-20_female_cohort'!H:H, "No Match")</f>
        <v>2017/2018</v>
      </c>
      <c r="E442">
        <v>2</v>
      </c>
      <c r="F442" s="11">
        <v>43780</v>
      </c>
      <c r="G442">
        <f>_xlfn.XLOOKUP(Table2[[#This Row],[First_egg_lay_date]],'19-20_niwa_temp_data'!B:B,'19-20_niwa_temp_data'!G:G, "No Match")</f>
        <v>15.469970911414153</v>
      </c>
      <c r="H442">
        <v>4</v>
      </c>
      <c r="I442" s="11">
        <v>43783</v>
      </c>
      <c r="J442">
        <f>_xlfn.XLOOKUP(Table2[[#This Row],[Nest_box_ID]],Sheet1!A:A,Sheet1!L:L, "No Match")</f>
        <v>0</v>
      </c>
      <c r="K442" s="11">
        <v>43798</v>
      </c>
      <c r="L442">
        <f>_xlfn.XLOOKUP(Table2[[#This Row],[Nest_box_ID]],Sheet1!A:A,Sheet1!K:K, "No Match")</f>
        <v>15</v>
      </c>
      <c r="M442" s="11">
        <v>43796</v>
      </c>
      <c r="N442" s="16">
        <v>0.47230324074074076</v>
      </c>
      <c r="O442">
        <v>13</v>
      </c>
      <c r="P442">
        <v>61</v>
      </c>
      <c r="Q442" t="s">
        <v>319</v>
      </c>
      <c r="R442">
        <v>246</v>
      </c>
      <c r="S442">
        <f>_xlfn.XLOOKUP(Table2[[#This Row],[Obs_date]],'19-20_niwa_temp_data'!B:B,'19-20_niwa_temp_data'!G:G, "N/A")</f>
        <v>17.287857010051884</v>
      </c>
      <c r="T442">
        <f>_xlfn.XLOOKUP(Table2[[#This Row],[First_egg_lay_date]],'19-20_niwa_temp_data'!B:B,'19-20_niwa_temp_data'!G:G, "No Match")</f>
        <v>15.469970911414153</v>
      </c>
    </row>
    <row r="443" spans="1:20" hidden="1" x14ac:dyDescent="0.35">
      <c r="A443" t="s">
        <v>9</v>
      </c>
      <c r="B443" t="s">
        <v>44</v>
      </c>
      <c r="C443" s="3" t="s">
        <v>133</v>
      </c>
      <c r="D443" t="str">
        <f>_xlfn.XLOOKUP(Table2[[#This Row],[Female_ID ]],'19-20_female_cohort'!I:I,'19-20_female_cohort'!H:H, "No Match")</f>
        <v>2017/2018</v>
      </c>
      <c r="E443">
        <v>2</v>
      </c>
      <c r="F443" s="11">
        <v>43780</v>
      </c>
      <c r="G443">
        <f>_xlfn.XLOOKUP(Table2[[#This Row],[First_egg_lay_date]],'19-20_niwa_temp_data'!B:B,'19-20_niwa_temp_data'!G:G, "No Match")</f>
        <v>15.469970911414153</v>
      </c>
      <c r="H443">
        <v>4</v>
      </c>
      <c r="I443" s="11">
        <v>43783</v>
      </c>
      <c r="J443">
        <f>_xlfn.XLOOKUP(Table2[[#This Row],[Nest_box_ID]],Sheet1!A:A,Sheet1!L:L, "No Match")</f>
        <v>0</v>
      </c>
      <c r="K443" s="11">
        <v>43798</v>
      </c>
      <c r="L443">
        <f>_xlfn.XLOOKUP(Table2[[#This Row],[Nest_box_ID]],Sheet1!A:A,Sheet1!K:K, "No Match")</f>
        <v>15</v>
      </c>
      <c r="M443" s="11">
        <v>43796</v>
      </c>
      <c r="N443" s="16">
        <v>0.47515046296296298</v>
      </c>
      <c r="O443">
        <v>13</v>
      </c>
      <c r="P443">
        <v>61</v>
      </c>
      <c r="Q443" t="s">
        <v>320</v>
      </c>
      <c r="R443">
        <v>564</v>
      </c>
      <c r="S443">
        <f>_xlfn.XLOOKUP(Table2[[#This Row],[Obs_date]],'19-20_niwa_temp_data'!B:B,'19-20_niwa_temp_data'!G:G, "N/A")</f>
        <v>17.287857010051884</v>
      </c>
      <c r="T443">
        <f>_xlfn.XLOOKUP(Table2[[#This Row],[First_egg_lay_date]],'19-20_niwa_temp_data'!B:B,'19-20_niwa_temp_data'!G:G, "No Match")</f>
        <v>15.469970911414153</v>
      </c>
    </row>
    <row r="444" spans="1:20" hidden="1" x14ac:dyDescent="0.35">
      <c r="A444" t="s">
        <v>9</v>
      </c>
      <c r="B444" t="s">
        <v>44</v>
      </c>
      <c r="C444" s="3" t="s">
        <v>133</v>
      </c>
      <c r="D444" t="str">
        <f>_xlfn.XLOOKUP(Table2[[#This Row],[Female_ID ]],'19-20_female_cohort'!I:I,'19-20_female_cohort'!H:H, "No Match")</f>
        <v>2017/2018</v>
      </c>
      <c r="E444">
        <v>2</v>
      </c>
      <c r="F444" s="11">
        <v>43780</v>
      </c>
      <c r="G444">
        <f>_xlfn.XLOOKUP(Table2[[#This Row],[First_egg_lay_date]],'19-20_niwa_temp_data'!B:B,'19-20_niwa_temp_data'!G:G, "No Match")</f>
        <v>15.469970911414153</v>
      </c>
      <c r="H444">
        <v>4</v>
      </c>
      <c r="I444" s="11">
        <v>43783</v>
      </c>
      <c r="J444">
        <f>_xlfn.XLOOKUP(Table2[[#This Row],[Nest_box_ID]],Sheet1!A:A,Sheet1!L:L, "No Match")</f>
        <v>0</v>
      </c>
      <c r="K444" s="11">
        <v>43798</v>
      </c>
      <c r="L444">
        <f>_xlfn.XLOOKUP(Table2[[#This Row],[Nest_box_ID]],Sheet1!A:A,Sheet1!K:K, "No Match")</f>
        <v>15</v>
      </c>
      <c r="M444" s="11">
        <v>43796</v>
      </c>
      <c r="N444" s="16">
        <v>0.48167824074074073</v>
      </c>
      <c r="O444">
        <v>13</v>
      </c>
      <c r="P444">
        <v>61</v>
      </c>
      <c r="Q444" t="s">
        <v>320</v>
      </c>
      <c r="R444">
        <v>100</v>
      </c>
      <c r="S444">
        <f>_xlfn.XLOOKUP(Table2[[#This Row],[Obs_date]],'19-20_niwa_temp_data'!B:B,'19-20_niwa_temp_data'!G:G, "N/A")</f>
        <v>17.287857010051884</v>
      </c>
      <c r="T444">
        <f>_xlfn.XLOOKUP(Table2[[#This Row],[First_egg_lay_date]],'19-20_niwa_temp_data'!B:B,'19-20_niwa_temp_data'!G:G, "No Match")</f>
        <v>15.469970911414153</v>
      </c>
    </row>
    <row r="445" spans="1:20" x14ac:dyDescent="0.35">
      <c r="A445" t="s">
        <v>9</v>
      </c>
      <c r="B445" t="s">
        <v>44</v>
      </c>
      <c r="C445" s="3" t="s">
        <v>133</v>
      </c>
      <c r="D445" t="str">
        <f>_xlfn.XLOOKUP(Table2[[#This Row],[Female_ID ]],'19-20_female_cohort'!I:I,'19-20_female_cohort'!H:H, "No Match")</f>
        <v>2017/2018</v>
      </c>
      <c r="E445">
        <v>2</v>
      </c>
      <c r="F445" s="11">
        <v>43780</v>
      </c>
      <c r="G445">
        <f>_xlfn.XLOOKUP(Table2[[#This Row],[First_egg_lay_date]],'19-20_niwa_temp_data'!B:B,'19-20_niwa_temp_data'!G:G, "No Match")</f>
        <v>15.469970911414153</v>
      </c>
      <c r="H445">
        <v>4</v>
      </c>
      <c r="I445" s="11">
        <v>43783</v>
      </c>
      <c r="J445">
        <f>_xlfn.XLOOKUP(Table2[[#This Row],[Nest_box_ID]],Sheet1!A:A,Sheet1!L:L, "No Match")</f>
        <v>0</v>
      </c>
      <c r="K445" s="11">
        <v>43798</v>
      </c>
      <c r="L445">
        <f>_xlfn.XLOOKUP(Table2[[#This Row],[Nest_box_ID]],Sheet1!A:A,Sheet1!K:K, "No Match")</f>
        <v>15</v>
      </c>
      <c r="M445" s="11">
        <v>43796</v>
      </c>
      <c r="N445" s="16">
        <v>0.48283564814814817</v>
      </c>
      <c r="O445">
        <v>13</v>
      </c>
      <c r="P445">
        <v>61</v>
      </c>
      <c r="Q445" t="s">
        <v>319</v>
      </c>
      <c r="R445">
        <v>83</v>
      </c>
      <c r="S445">
        <f>_xlfn.XLOOKUP(Table2[[#This Row],[Obs_date]],'19-20_niwa_temp_data'!B:B,'19-20_niwa_temp_data'!G:G, "N/A")</f>
        <v>17.287857010051884</v>
      </c>
      <c r="T445">
        <f>_xlfn.XLOOKUP(Table2[[#This Row],[First_egg_lay_date]],'19-20_niwa_temp_data'!B:B,'19-20_niwa_temp_data'!G:G, "No Match")</f>
        <v>15.469970911414153</v>
      </c>
    </row>
    <row r="446" spans="1:20" hidden="1" x14ac:dyDescent="0.35">
      <c r="A446" t="s">
        <v>9</v>
      </c>
      <c r="B446" t="s">
        <v>44</v>
      </c>
      <c r="C446" s="3" t="s">
        <v>133</v>
      </c>
      <c r="D446" t="str">
        <f>_xlfn.XLOOKUP(Table2[[#This Row],[Female_ID ]],'19-20_female_cohort'!I:I,'19-20_female_cohort'!H:H, "No Match")</f>
        <v>2017/2018</v>
      </c>
      <c r="E446">
        <v>2</v>
      </c>
      <c r="F446" s="11">
        <v>43780</v>
      </c>
      <c r="G446">
        <f>_xlfn.XLOOKUP(Table2[[#This Row],[First_egg_lay_date]],'19-20_niwa_temp_data'!B:B,'19-20_niwa_temp_data'!G:G, "No Match")</f>
        <v>15.469970911414153</v>
      </c>
      <c r="H446">
        <v>4</v>
      </c>
      <c r="I446" s="11">
        <v>43783</v>
      </c>
      <c r="J446">
        <f>_xlfn.XLOOKUP(Table2[[#This Row],[Nest_box_ID]],Sheet1!A:A,Sheet1!L:L, "No Match")</f>
        <v>0</v>
      </c>
      <c r="K446" s="11">
        <v>43798</v>
      </c>
      <c r="L446">
        <f>_xlfn.XLOOKUP(Table2[[#This Row],[Nest_box_ID]],Sheet1!A:A,Sheet1!K:K, "No Match")</f>
        <v>15</v>
      </c>
      <c r="M446" s="11">
        <v>43796</v>
      </c>
      <c r="N446" s="16">
        <v>0.48379629629629628</v>
      </c>
      <c r="O446">
        <v>13</v>
      </c>
      <c r="P446">
        <v>61</v>
      </c>
      <c r="Q446" t="s">
        <v>320</v>
      </c>
      <c r="R446">
        <v>440</v>
      </c>
      <c r="S446">
        <f>_xlfn.XLOOKUP(Table2[[#This Row],[Obs_date]],'19-20_niwa_temp_data'!B:B,'19-20_niwa_temp_data'!G:G, "N/A")</f>
        <v>17.287857010051884</v>
      </c>
      <c r="T446">
        <f>_xlfn.XLOOKUP(Table2[[#This Row],[First_egg_lay_date]],'19-20_niwa_temp_data'!B:B,'19-20_niwa_temp_data'!G:G, "No Match")</f>
        <v>15.469970911414153</v>
      </c>
    </row>
    <row r="447" spans="1:20" x14ac:dyDescent="0.35">
      <c r="A447" t="s">
        <v>9</v>
      </c>
      <c r="B447" t="s">
        <v>44</v>
      </c>
      <c r="C447" s="3" t="s">
        <v>133</v>
      </c>
      <c r="D447" t="str">
        <f>_xlfn.XLOOKUP(Table2[[#This Row],[Female_ID ]],'19-20_female_cohort'!I:I,'19-20_female_cohort'!H:H, "No Match")</f>
        <v>2017/2018</v>
      </c>
      <c r="E447">
        <v>2</v>
      </c>
      <c r="F447" s="11">
        <v>43780</v>
      </c>
      <c r="G447">
        <f>_xlfn.XLOOKUP(Table2[[#This Row],[First_egg_lay_date]],'19-20_niwa_temp_data'!B:B,'19-20_niwa_temp_data'!G:G, "No Match")</f>
        <v>15.469970911414153</v>
      </c>
      <c r="H447">
        <v>4</v>
      </c>
      <c r="I447" s="11">
        <v>43783</v>
      </c>
      <c r="J447">
        <f>_xlfn.XLOOKUP(Table2[[#This Row],[Nest_box_ID]],Sheet1!A:A,Sheet1!L:L, "No Match")</f>
        <v>0</v>
      </c>
      <c r="K447" s="11">
        <v>43798</v>
      </c>
      <c r="L447">
        <f>_xlfn.XLOOKUP(Table2[[#This Row],[Nest_box_ID]],Sheet1!A:A,Sheet1!K:K, "No Match")</f>
        <v>15</v>
      </c>
      <c r="M447" s="11">
        <v>43796</v>
      </c>
      <c r="N447" s="16">
        <v>0.48888888888888887</v>
      </c>
      <c r="O447">
        <v>13</v>
      </c>
      <c r="P447">
        <v>61</v>
      </c>
      <c r="Q447" t="s">
        <v>319</v>
      </c>
      <c r="R447">
        <v>678</v>
      </c>
      <c r="S447">
        <f>_xlfn.XLOOKUP(Table2[[#This Row],[Obs_date]],'19-20_niwa_temp_data'!B:B,'19-20_niwa_temp_data'!G:G, "N/A")</f>
        <v>17.287857010051884</v>
      </c>
      <c r="T447">
        <f>_xlfn.XLOOKUP(Table2[[#This Row],[First_egg_lay_date]],'19-20_niwa_temp_data'!B:B,'19-20_niwa_temp_data'!G:G, "No Match")</f>
        <v>15.469970911414153</v>
      </c>
    </row>
    <row r="448" spans="1:20" hidden="1" x14ac:dyDescent="0.35">
      <c r="A448" t="s">
        <v>9</v>
      </c>
      <c r="B448" t="s">
        <v>44</v>
      </c>
      <c r="C448" s="3" t="s">
        <v>133</v>
      </c>
      <c r="D448" t="str">
        <f>_xlfn.XLOOKUP(Table2[[#This Row],[Female_ID ]],'19-20_female_cohort'!I:I,'19-20_female_cohort'!H:H, "No Match")</f>
        <v>2017/2018</v>
      </c>
      <c r="E448">
        <v>2</v>
      </c>
      <c r="F448" s="11">
        <v>43780</v>
      </c>
      <c r="G448">
        <f>_xlfn.XLOOKUP(Table2[[#This Row],[First_egg_lay_date]],'19-20_niwa_temp_data'!B:B,'19-20_niwa_temp_data'!G:G, "No Match")</f>
        <v>15.469970911414153</v>
      </c>
      <c r="H448">
        <v>4</v>
      </c>
      <c r="I448" s="11">
        <v>43783</v>
      </c>
      <c r="J448">
        <f>_xlfn.XLOOKUP(Table2[[#This Row],[Nest_box_ID]],Sheet1!A:A,Sheet1!L:L, "No Match")</f>
        <v>0</v>
      </c>
      <c r="K448" s="11">
        <v>43798</v>
      </c>
      <c r="L448">
        <f>_xlfn.XLOOKUP(Table2[[#This Row],[Nest_box_ID]],Sheet1!A:A,Sheet1!K:K, "No Match")</f>
        <v>15</v>
      </c>
      <c r="M448" s="11">
        <v>43796</v>
      </c>
      <c r="N448" s="16">
        <v>0.4967361111111111</v>
      </c>
      <c r="O448">
        <v>13</v>
      </c>
      <c r="P448">
        <v>61</v>
      </c>
      <c r="Q448" t="s">
        <v>320</v>
      </c>
      <c r="R448" t="s">
        <v>254</v>
      </c>
      <c r="S448">
        <f>_xlfn.XLOOKUP(Table2[[#This Row],[Obs_date]],'19-20_niwa_temp_data'!B:B,'19-20_niwa_temp_data'!G:G, "N/A")</f>
        <v>17.287857010051884</v>
      </c>
      <c r="T448">
        <f>_xlfn.XLOOKUP(Table2[[#This Row],[First_egg_lay_date]],'19-20_niwa_temp_data'!B:B,'19-20_niwa_temp_data'!G:G, "No Match")</f>
        <v>15.469970911414153</v>
      </c>
    </row>
    <row r="449" spans="1:20" hidden="1" x14ac:dyDescent="0.35">
      <c r="A449" t="s">
        <v>9</v>
      </c>
      <c r="B449" t="s">
        <v>14</v>
      </c>
      <c r="C449" s="3" t="s">
        <v>103</v>
      </c>
      <c r="D449" t="str">
        <f>_xlfn.XLOOKUP(Table2[[#This Row],[Female_ID ]],'19-20_female_cohort'!I:I,'19-20_female_cohort'!H:H, "No Match")</f>
        <v>2016/2017</v>
      </c>
      <c r="E449">
        <v>3</v>
      </c>
      <c r="F449" s="11">
        <v>43770</v>
      </c>
      <c r="G449">
        <f>_xlfn.XLOOKUP(Table2[[#This Row],[First_egg_lay_date]],'19-20_niwa_temp_data'!B:B,'19-20_niwa_temp_data'!G:G, "No Match")</f>
        <v>14.032106042928838</v>
      </c>
      <c r="H449">
        <v>3</v>
      </c>
      <c r="I449" s="11">
        <v>43773</v>
      </c>
      <c r="J449">
        <f>_xlfn.XLOOKUP(Table2[[#This Row],[Nest_box_ID]],Sheet1!A:A,Sheet1!L:L, "No Match")</f>
        <v>1</v>
      </c>
      <c r="K449" s="11">
        <v>43788</v>
      </c>
      <c r="L449">
        <f>_xlfn.XLOOKUP(Table2[[#This Row],[Nest_box_ID]],Sheet1!A:A,Sheet1!K:K, "No Match")</f>
        <v>15</v>
      </c>
      <c r="M449" s="11">
        <v>43775</v>
      </c>
      <c r="N449" s="16">
        <v>0.67222222222222228</v>
      </c>
      <c r="O449">
        <v>1</v>
      </c>
      <c r="P449">
        <v>64</v>
      </c>
      <c r="Q449" t="s">
        <v>320</v>
      </c>
      <c r="R449">
        <v>485</v>
      </c>
      <c r="S449">
        <f>_xlfn.XLOOKUP(Table2[[#This Row],[Obs_date]],'19-20_niwa_temp_data'!B:B,'19-20_niwa_temp_data'!G:G, "N/A")</f>
        <v>16.742759629165079</v>
      </c>
      <c r="T449">
        <f>_xlfn.XLOOKUP(Table2[[#This Row],[First_egg_lay_date]],'19-20_niwa_temp_data'!B:B,'19-20_niwa_temp_data'!G:G, "No Match")</f>
        <v>14.032106042928838</v>
      </c>
    </row>
    <row r="450" spans="1:20" x14ac:dyDescent="0.35">
      <c r="A450" t="s">
        <v>9</v>
      </c>
      <c r="B450" t="s">
        <v>14</v>
      </c>
      <c r="C450" s="3" t="s">
        <v>103</v>
      </c>
      <c r="D450" t="str">
        <f>_xlfn.XLOOKUP(Table2[[#This Row],[Female_ID ]],'19-20_female_cohort'!I:I,'19-20_female_cohort'!H:H, "No Match")</f>
        <v>2016/2017</v>
      </c>
      <c r="E450">
        <v>3</v>
      </c>
      <c r="F450" s="11">
        <v>43770</v>
      </c>
      <c r="G450">
        <f>_xlfn.XLOOKUP(Table2[[#This Row],[First_egg_lay_date]],'19-20_niwa_temp_data'!B:B,'19-20_niwa_temp_data'!G:G, "No Match")</f>
        <v>14.032106042928838</v>
      </c>
      <c r="H450">
        <v>3</v>
      </c>
      <c r="I450" s="11">
        <v>43773</v>
      </c>
      <c r="J450">
        <f>_xlfn.XLOOKUP(Table2[[#This Row],[Nest_box_ID]],Sheet1!A:A,Sheet1!L:L, "No Match")</f>
        <v>1</v>
      </c>
      <c r="K450" s="11">
        <v>43788</v>
      </c>
      <c r="L450">
        <f>_xlfn.XLOOKUP(Table2[[#This Row],[Nest_box_ID]],Sheet1!A:A,Sheet1!K:K, "No Match")</f>
        <v>15</v>
      </c>
      <c r="M450" s="11">
        <v>43775</v>
      </c>
      <c r="N450" s="16">
        <v>0.67783564814814812</v>
      </c>
      <c r="O450">
        <v>1</v>
      </c>
      <c r="P450">
        <v>64</v>
      </c>
      <c r="Q450" t="s">
        <v>319</v>
      </c>
      <c r="R450">
        <v>257</v>
      </c>
      <c r="S450">
        <f>_xlfn.XLOOKUP(Table2[[#This Row],[Obs_date]],'19-20_niwa_temp_data'!B:B,'19-20_niwa_temp_data'!G:G, "N/A")</f>
        <v>16.742759629165079</v>
      </c>
      <c r="T450">
        <f>_xlfn.XLOOKUP(Table2[[#This Row],[First_egg_lay_date]],'19-20_niwa_temp_data'!B:B,'19-20_niwa_temp_data'!G:G, "No Match")</f>
        <v>14.032106042928838</v>
      </c>
    </row>
    <row r="451" spans="1:20" hidden="1" x14ac:dyDescent="0.35">
      <c r="A451" t="s">
        <v>9</v>
      </c>
      <c r="B451" t="s">
        <v>14</v>
      </c>
      <c r="C451" s="3" t="s">
        <v>103</v>
      </c>
      <c r="D451" t="str">
        <f>_xlfn.XLOOKUP(Table2[[#This Row],[Female_ID ]],'19-20_female_cohort'!I:I,'19-20_female_cohort'!H:H, "No Match")</f>
        <v>2016/2017</v>
      </c>
      <c r="E451">
        <v>3</v>
      </c>
      <c r="F451" s="11">
        <v>43770</v>
      </c>
      <c r="G451">
        <f>_xlfn.XLOOKUP(Table2[[#This Row],[First_egg_lay_date]],'19-20_niwa_temp_data'!B:B,'19-20_niwa_temp_data'!G:G, "No Match")</f>
        <v>14.032106042928838</v>
      </c>
      <c r="H451">
        <v>3</v>
      </c>
      <c r="I451" s="11">
        <v>43773</v>
      </c>
      <c r="J451">
        <f>_xlfn.XLOOKUP(Table2[[#This Row],[Nest_box_ID]],Sheet1!A:A,Sheet1!L:L, "No Match")</f>
        <v>1</v>
      </c>
      <c r="K451" s="11">
        <v>43788</v>
      </c>
      <c r="L451">
        <f>_xlfn.XLOOKUP(Table2[[#This Row],[Nest_box_ID]],Sheet1!A:A,Sheet1!K:K, "No Match")</f>
        <v>15</v>
      </c>
      <c r="M451" s="11">
        <v>43775</v>
      </c>
      <c r="N451" s="16">
        <v>0.68081018518518521</v>
      </c>
      <c r="O451">
        <v>1</v>
      </c>
      <c r="P451">
        <v>64</v>
      </c>
      <c r="Q451" t="s">
        <v>320</v>
      </c>
      <c r="R451">
        <v>1293</v>
      </c>
      <c r="S451">
        <f>_xlfn.XLOOKUP(Table2[[#This Row],[Obs_date]],'19-20_niwa_temp_data'!B:B,'19-20_niwa_temp_data'!G:G, "N/A")</f>
        <v>16.742759629165079</v>
      </c>
      <c r="T451">
        <f>_xlfn.XLOOKUP(Table2[[#This Row],[First_egg_lay_date]],'19-20_niwa_temp_data'!B:B,'19-20_niwa_temp_data'!G:G, "No Match")</f>
        <v>14.032106042928838</v>
      </c>
    </row>
    <row r="452" spans="1:20" x14ac:dyDescent="0.35">
      <c r="A452" t="s">
        <v>9</v>
      </c>
      <c r="B452" t="s">
        <v>14</v>
      </c>
      <c r="C452" s="3" t="s">
        <v>103</v>
      </c>
      <c r="D452" t="str">
        <f>_xlfn.XLOOKUP(Table2[[#This Row],[Female_ID ]],'19-20_female_cohort'!I:I,'19-20_female_cohort'!H:H, "No Match")</f>
        <v>2016/2017</v>
      </c>
      <c r="E452">
        <v>3</v>
      </c>
      <c r="F452" s="11">
        <v>43770</v>
      </c>
      <c r="G452">
        <f>_xlfn.XLOOKUP(Table2[[#This Row],[First_egg_lay_date]],'19-20_niwa_temp_data'!B:B,'19-20_niwa_temp_data'!G:G, "No Match")</f>
        <v>14.032106042928838</v>
      </c>
      <c r="H452">
        <v>3</v>
      </c>
      <c r="I452" s="11">
        <v>43773</v>
      </c>
      <c r="J452">
        <f>_xlfn.XLOOKUP(Table2[[#This Row],[Nest_box_ID]],Sheet1!A:A,Sheet1!L:L, "No Match")</f>
        <v>1</v>
      </c>
      <c r="K452" s="11">
        <v>43788</v>
      </c>
      <c r="L452">
        <f>_xlfn.XLOOKUP(Table2[[#This Row],[Nest_box_ID]],Sheet1!A:A,Sheet1!K:K, "No Match")</f>
        <v>15</v>
      </c>
      <c r="M452" s="11">
        <v>43775</v>
      </c>
      <c r="N452" s="16">
        <v>0.695775462962963</v>
      </c>
      <c r="O452">
        <v>1</v>
      </c>
      <c r="P452">
        <v>64</v>
      </c>
      <c r="Q452" t="s">
        <v>319</v>
      </c>
      <c r="R452">
        <v>322</v>
      </c>
      <c r="S452">
        <f>_xlfn.XLOOKUP(Table2[[#This Row],[Obs_date]],'19-20_niwa_temp_data'!B:B,'19-20_niwa_temp_data'!G:G, "N/A")</f>
        <v>16.742759629165079</v>
      </c>
      <c r="T452">
        <f>_xlfn.XLOOKUP(Table2[[#This Row],[First_egg_lay_date]],'19-20_niwa_temp_data'!B:B,'19-20_niwa_temp_data'!G:G, "No Match")</f>
        <v>14.032106042928838</v>
      </c>
    </row>
    <row r="453" spans="1:20" hidden="1" x14ac:dyDescent="0.35">
      <c r="A453" t="s">
        <v>9</v>
      </c>
      <c r="B453" t="s">
        <v>14</v>
      </c>
      <c r="C453" s="3" t="s">
        <v>103</v>
      </c>
      <c r="D453" t="str">
        <f>_xlfn.XLOOKUP(Table2[[#This Row],[Female_ID ]],'19-20_female_cohort'!I:I,'19-20_female_cohort'!H:H, "No Match")</f>
        <v>2016/2017</v>
      </c>
      <c r="E453">
        <v>3</v>
      </c>
      <c r="F453" s="11">
        <v>43770</v>
      </c>
      <c r="G453">
        <f>_xlfn.XLOOKUP(Table2[[#This Row],[First_egg_lay_date]],'19-20_niwa_temp_data'!B:B,'19-20_niwa_temp_data'!G:G, "No Match")</f>
        <v>14.032106042928838</v>
      </c>
      <c r="H453">
        <v>3</v>
      </c>
      <c r="I453" s="11">
        <v>43773</v>
      </c>
      <c r="J453">
        <f>_xlfn.XLOOKUP(Table2[[#This Row],[Nest_box_ID]],Sheet1!A:A,Sheet1!L:L, "No Match")</f>
        <v>1</v>
      </c>
      <c r="K453" s="11">
        <v>43788</v>
      </c>
      <c r="L453">
        <f>_xlfn.XLOOKUP(Table2[[#This Row],[Nest_box_ID]],Sheet1!A:A,Sheet1!K:K, "No Match")</f>
        <v>15</v>
      </c>
      <c r="M453" s="11">
        <v>43775</v>
      </c>
      <c r="N453" s="16">
        <v>0.69950231481481484</v>
      </c>
      <c r="O453">
        <v>1</v>
      </c>
      <c r="P453">
        <v>64</v>
      </c>
      <c r="Q453" t="s">
        <v>320</v>
      </c>
      <c r="R453">
        <v>873</v>
      </c>
      <c r="S453">
        <f>_xlfn.XLOOKUP(Table2[[#This Row],[Obs_date]],'19-20_niwa_temp_data'!B:B,'19-20_niwa_temp_data'!G:G, "N/A")</f>
        <v>16.742759629165079</v>
      </c>
      <c r="T453">
        <f>_xlfn.XLOOKUP(Table2[[#This Row],[First_egg_lay_date]],'19-20_niwa_temp_data'!B:B,'19-20_niwa_temp_data'!G:G, "No Match")</f>
        <v>14.032106042928838</v>
      </c>
    </row>
    <row r="454" spans="1:20" x14ac:dyDescent="0.35">
      <c r="A454" t="s">
        <v>9</v>
      </c>
      <c r="B454" t="s">
        <v>14</v>
      </c>
      <c r="C454" s="3" t="s">
        <v>103</v>
      </c>
      <c r="D454" t="str">
        <f>_xlfn.XLOOKUP(Table2[[#This Row],[Female_ID ]],'19-20_female_cohort'!I:I,'19-20_female_cohort'!H:H, "No Match")</f>
        <v>2016/2017</v>
      </c>
      <c r="E454">
        <v>3</v>
      </c>
      <c r="F454" s="11">
        <v>43770</v>
      </c>
      <c r="G454">
        <f>_xlfn.XLOOKUP(Table2[[#This Row],[First_egg_lay_date]],'19-20_niwa_temp_data'!B:B,'19-20_niwa_temp_data'!G:G, "No Match")</f>
        <v>14.032106042928838</v>
      </c>
      <c r="H454">
        <v>3</v>
      </c>
      <c r="I454" s="11">
        <v>43773</v>
      </c>
      <c r="J454">
        <f>_xlfn.XLOOKUP(Table2[[#This Row],[Nest_box_ID]],Sheet1!A:A,Sheet1!L:L, "No Match")</f>
        <v>1</v>
      </c>
      <c r="K454" s="11">
        <v>43788</v>
      </c>
      <c r="L454">
        <f>_xlfn.XLOOKUP(Table2[[#This Row],[Nest_box_ID]],Sheet1!A:A,Sheet1!K:K, "No Match")</f>
        <v>15</v>
      </c>
      <c r="M454" s="11">
        <v>43775</v>
      </c>
      <c r="N454" s="16">
        <v>0.70960648148148153</v>
      </c>
      <c r="O454">
        <v>1</v>
      </c>
      <c r="P454">
        <v>64</v>
      </c>
      <c r="Q454" t="s">
        <v>319</v>
      </c>
      <c r="R454">
        <v>430</v>
      </c>
      <c r="S454">
        <f>_xlfn.XLOOKUP(Table2[[#This Row],[Obs_date]],'19-20_niwa_temp_data'!B:B,'19-20_niwa_temp_data'!G:G, "N/A")</f>
        <v>16.742759629165079</v>
      </c>
      <c r="T454">
        <f>_xlfn.XLOOKUP(Table2[[#This Row],[First_egg_lay_date]],'19-20_niwa_temp_data'!B:B,'19-20_niwa_temp_data'!G:G, "No Match")</f>
        <v>14.032106042928838</v>
      </c>
    </row>
    <row r="455" spans="1:20" hidden="1" x14ac:dyDescent="0.35">
      <c r="A455" t="s">
        <v>9</v>
      </c>
      <c r="B455" t="s">
        <v>14</v>
      </c>
      <c r="C455" s="3" t="s">
        <v>103</v>
      </c>
      <c r="D455" t="str">
        <f>_xlfn.XLOOKUP(Table2[[#This Row],[Female_ID ]],'19-20_female_cohort'!I:I,'19-20_female_cohort'!H:H, "No Match")</f>
        <v>2016/2017</v>
      </c>
      <c r="E455">
        <v>3</v>
      </c>
      <c r="F455" s="11">
        <v>43770</v>
      </c>
      <c r="G455">
        <f>_xlfn.XLOOKUP(Table2[[#This Row],[First_egg_lay_date]],'19-20_niwa_temp_data'!B:B,'19-20_niwa_temp_data'!G:G, "No Match")</f>
        <v>14.032106042928838</v>
      </c>
      <c r="H455">
        <v>3</v>
      </c>
      <c r="I455" s="11">
        <v>43773</v>
      </c>
      <c r="J455">
        <f>_xlfn.XLOOKUP(Table2[[#This Row],[Nest_box_ID]],Sheet1!A:A,Sheet1!L:L, "No Match")</f>
        <v>1</v>
      </c>
      <c r="K455" s="11">
        <v>43788</v>
      </c>
      <c r="L455">
        <f>_xlfn.XLOOKUP(Table2[[#This Row],[Nest_box_ID]],Sheet1!A:A,Sheet1!K:K, "No Match")</f>
        <v>15</v>
      </c>
      <c r="M455" s="11">
        <v>43775</v>
      </c>
      <c r="N455" s="16">
        <v>0.71458333333333335</v>
      </c>
      <c r="O455">
        <v>1</v>
      </c>
      <c r="P455">
        <v>64</v>
      </c>
      <c r="Q455" t="s">
        <v>320</v>
      </c>
      <c r="R455" t="s">
        <v>254</v>
      </c>
      <c r="S455">
        <f>_xlfn.XLOOKUP(Table2[[#This Row],[Obs_date]],'19-20_niwa_temp_data'!B:B,'19-20_niwa_temp_data'!G:G, "N/A")</f>
        <v>16.742759629165079</v>
      </c>
      <c r="T455">
        <f>_xlfn.XLOOKUP(Table2[[#This Row],[First_egg_lay_date]],'19-20_niwa_temp_data'!B:B,'19-20_niwa_temp_data'!G:G, "No Match")</f>
        <v>14.032106042928838</v>
      </c>
    </row>
    <row r="456" spans="1:20" x14ac:dyDescent="0.35">
      <c r="A456" t="s">
        <v>9</v>
      </c>
      <c r="B456" t="s">
        <v>14</v>
      </c>
      <c r="C456" s="3" t="s">
        <v>103</v>
      </c>
      <c r="D456" t="str">
        <f>_xlfn.XLOOKUP(Table2[[#This Row],[Female_ID ]],'19-20_female_cohort'!I:I,'19-20_female_cohort'!H:H, "No Match")</f>
        <v>2016/2017</v>
      </c>
      <c r="E456">
        <v>3</v>
      </c>
      <c r="F456" s="11">
        <v>43770</v>
      </c>
      <c r="G456">
        <f>_xlfn.XLOOKUP(Table2[[#This Row],[First_egg_lay_date]],'19-20_niwa_temp_data'!B:B,'19-20_niwa_temp_data'!G:G, "No Match")</f>
        <v>14.032106042928838</v>
      </c>
      <c r="H456">
        <v>3</v>
      </c>
      <c r="I456" s="11">
        <v>43773</v>
      </c>
      <c r="J456">
        <f>_xlfn.XLOOKUP(Table2[[#This Row],[Nest_box_ID]],Sheet1!A:A,Sheet1!L:L, "No Match")</f>
        <v>1</v>
      </c>
      <c r="K456" s="11">
        <v>43788</v>
      </c>
      <c r="L456">
        <f>_xlfn.XLOOKUP(Table2[[#This Row],[Nest_box_ID]],Sheet1!A:A,Sheet1!K:K, "No Match")</f>
        <v>15</v>
      </c>
      <c r="M456" s="11">
        <v>43780</v>
      </c>
      <c r="N456" s="16">
        <v>0.46074074074074073</v>
      </c>
      <c r="O456">
        <v>7</v>
      </c>
      <c r="P456">
        <v>60.55</v>
      </c>
      <c r="Q456" t="s">
        <v>319</v>
      </c>
      <c r="R456">
        <v>298</v>
      </c>
      <c r="S456">
        <f>_xlfn.XLOOKUP(Table2[[#This Row],[Obs_date]],'19-20_niwa_temp_data'!B:B,'19-20_niwa_temp_data'!G:G, "N/A")</f>
        <v>15.469970911414153</v>
      </c>
      <c r="T456">
        <f>_xlfn.XLOOKUP(Table2[[#This Row],[First_egg_lay_date]],'19-20_niwa_temp_data'!B:B,'19-20_niwa_temp_data'!G:G, "No Match")</f>
        <v>14.032106042928838</v>
      </c>
    </row>
    <row r="457" spans="1:20" hidden="1" x14ac:dyDescent="0.35">
      <c r="A457" t="s">
        <v>9</v>
      </c>
      <c r="B457" t="s">
        <v>14</v>
      </c>
      <c r="C457" s="3" t="s">
        <v>103</v>
      </c>
      <c r="D457" t="str">
        <f>_xlfn.XLOOKUP(Table2[[#This Row],[Female_ID ]],'19-20_female_cohort'!I:I,'19-20_female_cohort'!H:H, "No Match")</f>
        <v>2016/2017</v>
      </c>
      <c r="E457">
        <v>3</v>
      </c>
      <c r="F457" s="11">
        <v>43770</v>
      </c>
      <c r="G457">
        <f>_xlfn.XLOOKUP(Table2[[#This Row],[First_egg_lay_date]],'19-20_niwa_temp_data'!B:B,'19-20_niwa_temp_data'!G:G, "No Match")</f>
        <v>14.032106042928838</v>
      </c>
      <c r="H457">
        <v>3</v>
      </c>
      <c r="I457" s="11">
        <v>43773</v>
      </c>
      <c r="J457">
        <f>_xlfn.XLOOKUP(Table2[[#This Row],[Nest_box_ID]],Sheet1!A:A,Sheet1!L:L, "No Match")</f>
        <v>1</v>
      </c>
      <c r="K457" s="11">
        <v>43788</v>
      </c>
      <c r="L457">
        <f>_xlfn.XLOOKUP(Table2[[#This Row],[Nest_box_ID]],Sheet1!A:A,Sheet1!K:K, "No Match")</f>
        <v>15</v>
      </c>
      <c r="M457" s="11">
        <v>43780</v>
      </c>
      <c r="N457" s="16">
        <v>0.46418981481481481</v>
      </c>
      <c r="O457">
        <v>7</v>
      </c>
      <c r="P457">
        <v>60.55</v>
      </c>
      <c r="Q457" t="s">
        <v>320</v>
      </c>
      <c r="R457">
        <v>1476</v>
      </c>
      <c r="S457">
        <f>_xlfn.XLOOKUP(Table2[[#This Row],[Obs_date]],'19-20_niwa_temp_data'!B:B,'19-20_niwa_temp_data'!G:G, "N/A")</f>
        <v>15.469970911414153</v>
      </c>
      <c r="T457">
        <f>_xlfn.XLOOKUP(Table2[[#This Row],[First_egg_lay_date]],'19-20_niwa_temp_data'!B:B,'19-20_niwa_temp_data'!G:G, "No Match")</f>
        <v>14.032106042928838</v>
      </c>
    </row>
    <row r="458" spans="1:20" x14ac:dyDescent="0.35">
      <c r="A458" t="s">
        <v>9</v>
      </c>
      <c r="B458" t="s">
        <v>14</v>
      </c>
      <c r="C458" s="3" t="s">
        <v>103</v>
      </c>
      <c r="D458" t="str">
        <f>_xlfn.XLOOKUP(Table2[[#This Row],[Female_ID ]],'19-20_female_cohort'!I:I,'19-20_female_cohort'!H:H, "No Match")</f>
        <v>2016/2017</v>
      </c>
      <c r="E458">
        <v>3</v>
      </c>
      <c r="F458" s="11">
        <v>43770</v>
      </c>
      <c r="G458">
        <f>_xlfn.XLOOKUP(Table2[[#This Row],[First_egg_lay_date]],'19-20_niwa_temp_data'!B:B,'19-20_niwa_temp_data'!G:G, "No Match")</f>
        <v>14.032106042928838</v>
      </c>
      <c r="H458">
        <v>3</v>
      </c>
      <c r="I458" s="11">
        <v>43773</v>
      </c>
      <c r="J458">
        <f>_xlfn.XLOOKUP(Table2[[#This Row],[Nest_box_ID]],Sheet1!A:A,Sheet1!L:L, "No Match")</f>
        <v>1</v>
      </c>
      <c r="K458" s="11">
        <v>43788</v>
      </c>
      <c r="L458">
        <f>_xlfn.XLOOKUP(Table2[[#This Row],[Nest_box_ID]],Sheet1!A:A,Sheet1!K:K, "No Match")</f>
        <v>15</v>
      </c>
      <c r="M458" s="11">
        <v>43780</v>
      </c>
      <c r="N458" s="16">
        <v>0.48127314814814814</v>
      </c>
      <c r="O458">
        <v>7</v>
      </c>
      <c r="P458">
        <v>60.55</v>
      </c>
      <c r="Q458" t="s">
        <v>319</v>
      </c>
      <c r="R458">
        <v>128</v>
      </c>
      <c r="S458">
        <f>_xlfn.XLOOKUP(Table2[[#This Row],[Obs_date]],'19-20_niwa_temp_data'!B:B,'19-20_niwa_temp_data'!G:G, "N/A")</f>
        <v>15.469970911414153</v>
      </c>
      <c r="T458">
        <f>_xlfn.XLOOKUP(Table2[[#This Row],[First_egg_lay_date]],'19-20_niwa_temp_data'!B:B,'19-20_niwa_temp_data'!G:G, "No Match")</f>
        <v>14.032106042928838</v>
      </c>
    </row>
    <row r="459" spans="1:20" hidden="1" x14ac:dyDescent="0.35">
      <c r="A459" t="s">
        <v>9</v>
      </c>
      <c r="B459" t="s">
        <v>14</v>
      </c>
      <c r="C459" s="3" t="s">
        <v>103</v>
      </c>
      <c r="D459" t="str">
        <f>_xlfn.XLOOKUP(Table2[[#This Row],[Female_ID ]],'19-20_female_cohort'!I:I,'19-20_female_cohort'!H:H, "No Match")</f>
        <v>2016/2017</v>
      </c>
      <c r="E459">
        <v>3</v>
      </c>
      <c r="F459" s="11">
        <v>43770</v>
      </c>
      <c r="G459">
        <f>_xlfn.XLOOKUP(Table2[[#This Row],[First_egg_lay_date]],'19-20_niwa_temp_data'!B:B,'19-20_niwa_temp_data'!G:G, "No Match")</f>
        <v>14.032106042928838</v>
      </c>
      <c r="H459">
        <v>3</v>
      </c>
      <c r="I459" s="11">
        <v>43773</v>
      </c>
      <c r="J459">
        <f>_xlfn.XLOOKUP(Table2[[#This Row],[Nest_box_ID]],Sheet1!A:A,Sheet1!L:L, "No Match")</f>
        <v>1</v>
      </c>
      <c r="K459" s="11">
        <v>43788</v>
      </c>
      <c r="L459">
        <f>_xlfn.XLOOKUP(Table2[[#This Row],[Nest_box_ID]],Sheet1!A:A,Sheet1!K:K, "No Match")</f>
        <v>15</v>
      </c>
      <c r="M459" s="11">
        <v>43780</v>
      </c>
      <c r="N459" s="16">
        <v>0.48275462962962962</v>
      </c>
      <c r="O459">
        <v>7</v>
      </c>
      <c r="P459">
        <v>60.55</v>
      </c>
      <c r="Q459" t="s">
        <v>320</v>
      </c>
      <c r="R459">
        <v>644</v>
      </c>
      <c r="S459">
        <f>_xlfn.XLOOKUP(Table2[[#This Row],[Obs_date]],'19-20_niwa_temp_data'!B:B,'19-20_niwa_temp_data'!G:G, "N/A")</f>
        <v>15.469970911414153</v>
      </c>
      <c r="T459">
        <f>_xlfn.XLOOKUP(Table2[[#This Row],[First_egg_lay_date]],'19-20_niwa_temp_data'!B:B,'19-20_niwa_temp_data'!G:G, "No Match")</f>
        <v>14.032106042928838</v>
      </c>
    </row>
    <row r="460" spans="1:20" x14ac:dyDescent="0.35">
      <c r="A460" t="s">
        <v>9</v>
      </c>
      <c r="B460" t="s">
        <v>14</v>
      </c>
      <c r="C460" s="3" t="s">
        <v>103</v>
      </c>
      <c r="D460" t="str">
        <f>_xlfn.XLOOKUP(Table2[[#This Row],[Female_ID ]],'19-20_female_cohort'!I:I,'19-20_female_cohort'!H:H, "No Match")</f>
        <v>2016/2017</v>
      </c>
      <c r="E460">
        <v>3</v>
      </c>
      <c r="F460" s="11">
        <v>43770</v>
      </c>
      <c r="G460">
        <f>_xlfn.XLOOKUP(Table2[[#This Row],[First_egg_lay_date]],'19-20_niwa_temp_data'!B:B,'19-20_niwa_temp_data'!G:G, "No Match")</f>
        <v>14.032106042928838</v>
      </c>
      <c r="H460">
        <v>3</v>
      </c>
      <c r="I460" s="11">
        <v>43773</v>
      </c>
      <c r="J460">
        <f>_xlfn.XLOOKUP(Table2[[#This Row],[Nest_box_ID]],Sheet1!A:A,Sheet1!L:L, "No Match")</f>
        <v>1</v>
      </c>
      <c r="K460" s="11">
        <v>43788</v>
      </c>
      <c r="L460">
        <f>_xlfn.XLOOKUP(Table2[[#This Row],[Nest_box_ID]],Sheet1!A:A,Sheet1!K:K, "No Match")</f>
        <v>15</v>
      </c>
      <c r="M460" s="11">
        <v>43780</v>
      </c>
      <c r="N460" s="16">
        <v>0.49020833333333336</v>
      </c>
      <c r="O460">
        <v>7</v>
      </c>
      <c r="P460">
        <v>60.55</v>
      </c>
      <c r="Q460" t="s">
        <v>319</v>
      </c>
      <c r="R460">
        <v>279</v>
      </c>
      <c r="S460">
        <f>_xlfn.XLOOKUP(Table2[[#This Row],[Obs_date]],'19-20_niwa_temp_data'!B:B,'19-20_niwa_temp_data'!G:G, "N/A")</f>
        <v>15.469970911414153</v>
      </c>
      <c r="T460">
        <f>_xlfn.XLOOKUP(Table2[[#This Row],[First_egg_lay_date]],'19-20_niwa_temp_data'!B:B,'19-20_niwa_temp_data'!G:G, "No Match")</f>
        <v>14.032106042928838</v>
      </c>
    </row>
    <row r="461" spans="1:20" hidden="1" x14ac:dyDescent="0.35">
      <c r="A461" t="s">
        <v>9</v>
      </c>
      <c r="B461" t="s">
        <v>14</v>
      </c>
      <c r="C461" s="3" t="s">
        <v>103</v>
      </c>
      <c r="D461" t="str">
        <f>_xlfn.XLOOKUP(Table2[[#This Row],[Female_ID ]],'19-20_female_cohort'!I:I,'19-20_female_cohort'!H:H, "No Match")</f>
        <v>2016/2017</v>
      </c>
      <c r="E461">
        <v>3</v>
      </c>
      <c r="F461" s="11">
        <v>43770</v>
      </c>
      <c r="G461">
        <f>_xlfn.XLOOKUP(Table2[[#This Row],[First_egg_lay_date]],'19-20_niwa_temp_data'!B:B,'19-20_niwa_temp_data'!G:G, "No Match")</f>
        <v>14.032106042928838</v>
      </c>
      <c r="H461">
        <v>3</v>
      </c>
      <c r="I461" s="11">
        <v>43773</v>
      </c>
      <c r="J461">
        <f>_xlfn.XLOOKUP(Table2[[#This Row],[Nest_box_ID]],Sheet1!A:A,Sheet1!L:L, "No Match")</f>
        <v>1</v>
      </c>
      <c r="K461" s="11">
        <v>43788</v>
      </c>
      <c r="L461">
        <f>_xlfn.XLOOKUP(Table2[[#This Row],[Nest_box_ID]],Sheet1!A:A,Sheet1!K:K, "No Match")</f>
        <v>15</v>
      </c>
      <c r="M461" s="11">
        <v>43780</v>
      </c>
      <c r="N461" s="16">
        <v>0.49343749999999997</v>
      </c>
      <c r="O461">
        <v>7</v>
      </c>
      <c r="P461">
        <v>60.55</v>
      </c>
      <c r="Q461" t="s">
        <v>320</v>
      </c>
      <c r="R461" t="s">
        <v>254</v>
      </c>
      <c r="S461">
        <f>_xlfn.XLOOKUP(Table2[[#This Row],[Obs_date]],'19-20_niwa_temp_data'!B:B,'19-20_niwa_temp_data'!G:G, "N/A")</f>
        <v>15.469970911414153</v>
      </c>
      <c r="T461">
        <f>_xlfn.XLOOKUP(Table2[[#This Row],[First_egg_lay_date]],'19-20_niwa_temp_data'!B:B,'19-20_niwa_temp_data'!G:G, "No Match")</f>
        <v>14.032106042928838</v>
      </c>
    </row>
    <row r="462" spans="1:20" x14ac:dyDescent="0.35">
      <c r="A462" t="s">
        <v>9</v>
      </c>
      <c r="B462" t="s">
        <v>14</v>
      </c>
      <c r="C462" s="3" t="s">
        <v>103</v>
      </c>
      <c r="D462" t="str">
        <f>_xlfn.XLOOKUP(Table2[[#This Row],[Female_ID ]],'19-20_female_cohort'!I:I,'19-20_female_cohort'!H:H, "No Match")</f>
        <v>2016/2017</v>
      </c>
      <c r="E462">
        <v>3</v>
      </c>
      <c r="F462" s="11">
        <v>43770</v>
      </c>
      <c r="G462">
        <f>_xlfn.XLOOKUP(Table2[[#This Row],[First_egg_lay_date]],'19-20_niwa_temp_data'!B:B,'19-20_niwa_temp_data'!G:G, "No Match")</f>
        <v>14.032106042928838</v>
      </c>
      <c r="H462">
        <v>3</v>
      </c>
      <c r="I462" s="11">
        <v>43773</v>
      </c>
      <c r="J462">
        <f>_xlfn.XLOOKUP(Table2[[#This Row],[Nest_box_ID]],Sheet1!A:A,Sheet1!L:L, "No Match")</f>
        <v>1</v>
      </c>
      <c r="K462" s="11">
        <v>43788</v>
      </c>
      <c r="L462">
        <f>_xlfn.XLOOKUP(Table2[[#This Row],[Nest_box_ID]],Sheet1!A:A,Sheet1!K:K, "No Match")</f>
        <v>15</v>
      </c>
      <c r="M462" s="11">
        <v>43775</v>
      </c>
      <c r="N462" s="16">
        <v>0.67783564814814812</v>
      </c>
      <c r="O462">
        <v>7</v>
      </c>
      <c r="P462">
        <v>60.55</v>
      </c>
      <c r="Q462" t="s">
        <v>319</v>
      </c>
      <c r="R462">
        <v>257</v>
      </c>
      <c r="S462">
        <f>_xlfn.XLOOKUP(Table2[[#This Row],[Obs_date]],'19-20_niwa_temp_data'!B:B,'19-20_niwa_temp_data'!G:G, "N/A")</f>
        <v>16.742759629165079</v>
      </c>
      <c r="T462">
        <f>_xlfn.XLOOKUP(Table2[[#This Row],[First_egg_lay_date]],'19-20_niwa_temp_data'!B:B,'19-20_niwa_temp_data'!G:G, "No Match")</f>
        <v>14.032106042928838</v>
      </c>
    </row>
    <row r="463" spans="1:20" hidden="1" x14ac:dyDescent="0.35">
      <c r="A463" t="s">
        <v>9</v>
      </c>
      <c r="B463" t="s">
        <v>14</v>
      </c>
      <c r="C463" s="3" t="s">
        <v>103</v>
      </c>
      <c r="D463" t="str">
        <f>_xlfn.XLOOKUP(Table2[[#This Row],[Female_ID ]],'19-20_female_cohort'!I:I,'19-20_female_cohort'!H:H, "No Match")</f>
        <v>2016/2017</v>
      </c>
      <c r="E463">
        <v>3</v>
      </c>
      <c r="F463" s="11">
        <v>43770</v>
      </c>
      <c r="G463">
        <f>_xlfn.XLOOKUP(Table2[[#This Row],[First_egg_lay_date]],'19-20_niwa_temp_data'!B:B,'19-20_niwa_temp_data'!G:G, "No Match")</f>
        <v>14.032106042928838</v>
      </c>
      <c r="H463">
        <v>3</v>
      </c>
      <c r="I463" s="11">
        <v>43773</v>
      </c>
      <c r="J463">
        <f>_xlfn.XLOOKUP(Table2[[#This Row],[Nest_box_ID]],Sheet1!A:A,Sheet1!L:L, "No Match")</f>
        <v>1</v>
      </c>
      <c r="K463" s="11">
        <v>43788</v>
      </c>
      <c r="L463">
        <f>_xlfn.XLOOKUP(Table2[[#This Row],[Nest_box_ID]],Sheet1!A:A,Sheet1!K:K, "No Match")</f>
        <v>15</v>
      </c>
      <c r="M463" s="11">
        <v>43775</v>
      </c>
      <c r="N463" s="16">
        <v>0.68081018518518521</v>
      </c>
      <c r="O463">
        <v>1</v>
      </c>
      <c r="P463">
        <v>64</v>
      </c>
      <c r="Q463" t="s">
        <v>320</v>
      </c>
      <c r="R463">
        <v>1293</v>
      </c>
      <c r="S463">
        <f>_xlfn.XLOOKUP(Table2[[#This Row],[Obs_date]],'19-20_niwa_temp_data'!B:B,'19-20_niwa_temp_data'!G:G, "N/A")</f>
        <v>16.742759629165079</v>
      </c>
      <c r="T463">
        <f>_xlfn.XLOOKUP(Table2[[#This Row],[First_egg_lay_date]],'19-20_niwa_temp_data'!B:B,'19-20_niwa_temp_data'!G:G, "No Match")</f>
        <v>14.032106042928838</v>
      </c>
    </row>
    <row r="464" spans="1:20" x14ac:dyDescent="0.35">
      <c r="A464" t="s">
        <v>9</v>
      </c>
      <c r="B464" t="s">
        <v>14</v>
      </c>
      <c r="C464" s="3" t="s">
        <v>103</v>
      </c>
      <c r="D464" t="str">
        <f>_xlfn.XLOOKUP(Table2[[#This Row],[Female_ID ]],'19-20_female_cohort'!I:I,'19-20_female_cohort'!H:H, "No Match")</f>
        <v>2016/2017</v>
      </c>
      <c r="E464">
        <v>3</v>
      </c>
      <c r="F464" s="11">
        <v>43770</v>
      </c>
      <c r="G464">
        <f>_xlfn.XLOOKUP(Table2[[#This Row],[First_egg_lay_date]],'19-20_niwa_temp_data'!B:B,'19-20_niwa_temp_data'!G:G, "No Match")</f>
        <v>14.032106042928838</v>
      </c>
      <c r="H464">
        <v>3</v>
      </c>
      <c r="I464" s="11">
        <v>43773</v>
      </c>
      <c r="J464">
        <f>_xlfn.XLOOKUP(Table2[[#This Row],[Nest_box_ID]],Sheet1!A:A,Sheet1!L:L, "No Match")</f>
        <v>1</v>
      </c>
      <c r="K464" s="11">
        <v>43788</v>
      </c>
      <c r="L464">
        <f>_xlfn.XLOOKUP(Table2[[#This Row],[Nest_box_ID]],Sheet1!A:A,Sheet1!K:K, "No Match")</f>
        <v>15</v>
      </c>
      <c r="M464" s="11">
        <v>43775</v>
      </c>
      <c r="N464" s="16">
        <v>0.695775462962963</v>
      </c>
      <c r="O464">
        <v>1</v>
      </c>
      <c r="P464">
        <v>64</v>
      </c>
      <c r="Q464" t="s">
        <v>319</v>
      </c>
      <c r="R464">
        <v>322</v>
      </c>
      <c r="S464">
        <f>_xlfn.XLOOKUP(Table2[[#This Row],[Obs_date]],'19-20_niwa_temp_data'!B:B,'19-20_niwa_temp_data'!G:G, "N/A")</f>
        <v>16.742759629165079</v>
      </c>
      <c r="T464">
        <f>_xlfn.XLOOKUP(Table2[[#This Row],[First_egg_lay_date]],'19-20_niwa_temp_data'!B:B,'19-20_niwa_temp_data'!G:G, "No Match")</f>
        <v>14.032106042928838</v>
      </c>
    </row>
    <row r="465" spans="1:20" hidden="1" x14ac:dyDescent="0.35">
      <c r="A465" t="s">
        <v>9</v>
      </c>
      <c r="B465" t="s">
        <v>14</v>
      </c>
      <c r="C465" s="3" t="s">
        <v>103</v>
      </c>
      <c r="D465" t="str">
        <f>_xlfn.XLOOKUP(Table2[[#This Row],[Female_ID ]],'19-20_female_cohort'!I:I,'19-20_female_cohort'!H:H, "No Match")</f>
        <v>2016/2017</v>
      </c>
      <c r="E465">
        <v>3</v>
      </c>
      <c r="F465" s="11">
        <v>43770</v>
      </c>
      <c r="G465">
        <f>_xlfn.XLOOKUP(Table2[[#This Row],[First_egg_lay_date]],'19-20_niwa_temp_data'!B:B,'19-20_niwa_temp_data'!G:G, "No Match")</f>
        <v>14.032106042928838</v>
      </c>
      <c r="H465">
        <v>3</v>
      </c>
      <c r="I465" s="11">
        <v>43773</v>
      </c>
      <c r="J465">
        <f>_xlfn.XLOOKUP(Table2[[#This Row],[Nest_box_ID]],Sheet1!A:A,Sheet1!L:L, "No Match")</f>
        <v>1</v>
      </c>
      <c r="K465" s="11">
        <v>43788</v>
      </c>
      <c r="L465">
        <f>_xlfn.XLOOKUP(Table2[[#This Row],[Nest_box_ID]],Sheet1!A:A,Sheet1!K:K, "No Match")</f>
        <v>15</v>
      </c>
      <c r="M465" s="11">
        <v>43775</v>
      </c>
      <c r="N465" s="16">
        <v>0.69950231481481484</v>
      </c>
      <c r="O465">
        <v>1</v>
      </c>
      <c r="P465">
        <v>64</v>
      </c>
      <c r="Q465" t="s">
        <v>320</v>
      </c>
      <c r="R465">
        <v>873</v>
      </c>
      <c r="S465">
        <f>_xlfn.XLOOKUP(Table2[[#This Row],[Obs_date]],'19-20_niwa_temp_data'!B:B,'19-20_niwa_temp_data'!G:G, "N/A")</f>
        <v>16.742759629165079</v>
      </c>
      <c r="T465">
        <f>_xlfn.XLOOKUP(Table2[[#This Row],[First_egg_lay_date]],'19-20_niwa_temp_data'!B:B,'19-20_niwa_temp_data'!G:G, "No Match")</f>
        <v>14.032106042928838</v>
      </c>
    </row>
    <row r="466" spans="1:20" x14ac:dyDescent="0.35">
      <c r="A466" t="s">
        <v>9</v>
      </c>
      <c r="B466" t="s">
        <v>14</v>
      </c>
      <c r="C466" s="3" t="s">
        <v>103</v>
      </c>
      <c r="D466" t="str">
        <f>_xlfn.XLOOKUP(Table2[[#This Row],[Female_ID ]],'19-20_female_cohort'!I:I,'19-20_female_cohort'!H:H, "No Match")</f>
        <v>2016/2017</v>
      </c>
      <c r="E466">
        <v>3</v>
      </c>
      <c r="F466" s="11">
        <v>43770</v>
      </c>
      <c r="G466">
        <f>_xlfn.XLOOKUP(Table2[[#This Row],[First_egg_lay_date]],'19-20_niwa_temp_data'!B:B,'19-20_niwa_temp_data'!G:G, "No Match")</f>
        <v>14.032106042928838</v>
      </c>
      <c r="H466">
        <v>3</v>
      </c>
      <c r="I466" s="11">
        <v>43773</v>
      </c>
      <c r="J466">
        <f>_xlfn.XLOOKUP(Table2[[#This Row],[Nest_box_ID]],Sheet1!A:A,Sheet1!L:L, "No Match")</f>
        <v>1</v>
      </c>
      <c r="K466" s="11">
        <v>43788</v>
      </c>
      <c r="L466">
        <f>_xlfn.XLOOKUP(Table2[[#This Row],[Nest_box_ID]],Sheet1!A:A,Sheet1!K:K, "No Match")</f>
        <v>15</v>
      </c>
      <c r="M466" s="11">
        <v>43775</v>
      </c>
      <c r="N466" s="16">
        <v>0.70960648148148153</v>
      </c>
      <c r="O466">
        <v>1</v>
      </c>
      <c r="P466">
        <v>64</v>
      </c>
      <c r="Q466" t="s">
        <v>319</v>
      </c>
      <c r="R466">
        <v>430</v>
      </c>
      <c r="S466">
        <f>_xlfn.XLOOKUP(Table2[[#This Row],[Obs_date]],'19-20_niwa_temp_data'!B:B,'19-20_niwa_temp_data'!G:G, "N/A")</f>
        <v>16.742759629165079</v>
      </c>
      <c r="T466">
        <f>_xlfn.XLOOKUP(Table2[[#This Row],[First_egg_lay_date]],'19-20_niwa_temp_data'!B:B,'19-20_niwa_temp_data'!G:G, "No Match")</f>
        <v>14.032106042928838</v>
      </c>
    </row>
    <row r="467" spans="1:20" hidden="1" x14ac:dyDescent="0.35">
      <c r="A467" t="s">
        <v>9</v>
      </c>
      <c r="B467" t="s">
        <v>14</v>
      </c>
      <c r="C467" s="3" t="s">
        <v>103</v>
      </c>
      <c r="D467" t="str">
        <f>_xlfn.XLOOKUP(Table2[[#This Row],[Female_ID ]],'19-20_female_cohort'!I:I,'19-20_female_cohort'!H:H, "No Match")</f>
        <v>2016/2017</v>
      </c>
      <c r="E467">
        <v>3</v>
      </c>
      <c r="F467" s="11">
        <v>43770</v>
      </c>
      <c r="G467">
        <f>_xlfn.XLOOKUP(Table2[[#This Row],[First_egg_lay_date]],'19-20_niwa_temp_data'!B:B,'19-20_niwa_temp_data'!G:G, "No Match")</f>
        <v>14.032106042928838</v>
      </c>
      <c r="H467">
        <v>3</v>
      </c>
      <c r="I467" s="11">
        <v>43773</v>
      </c>
      <c r="J467">
        <f>_xlfn.XLOOKUP(Table2[[#This Row],[Nest_box_ID]],Sheet1!A:A,Sheet1!L:L, "No Match")</f>
        <v>1</v>
      </c>
      <c r="K467" s="11">
        <v>43788</v>
      </c>
      <c r="L467">
        <f>_xlfn.XLOOKUP(Table2[[#This Row],[Nest_box_ID]],Sheet1!A:A,Sheet1!K:K, "No Match")</f>
        <v>15</v>
      </c>
      <c r="M467" s="11">
        <v>43775</v>
      </c>
      <c r="N467" s="16">
        <v>0.71458333333333335</v>
      </c>
      <c r="O467">
        <v>1</v>
      </c>
      <c r="P467">
        <v>64</v>
      </c>
      <c r="Q467" t="s">
        <v>320</v>
      </c>
      <c r="R467" t="s">
        <v>254</v>
      </c>
      <c r="S467">
        <f>_xlfn.XLOOKUP(Table2[[#This Row],[Obs_date]],'19-20_niwa_temp_data'!B:B,'19-20_niwa_temp_data'!G:G, "N/A")</f>
        <v>16.742759629165079</v>
      </c>
      <c r="T467">
        <f>_xlfn.XLOOKUP(Table2[[#This Row],[First_egg_lay_date]],'19-20_niwa_temp_data'!B:B,'19-20_niwa_temp_data'!G:G, "No Match")</f>
        <v>14.032106042928838</v>
      </c>
    </row>
    <row r="468" spans="1:20" x14ac:dyDescent="0.35">
      <c r="A468" t="s">
        <v>9</v>
      </c>
      <c r="B468" t="s">
        <v>14</v>
      </c>
      <c r="C468" s="3" t="s">
        <v>103</v>
      </c>
      <c r="D468" t="str">
        <f>_xlfn.XLOOKUP(Table2[[#This Row],[Female_ID ]],'19-20_female_cohort'!I:I,'19-20_female_cohort'!H:H, "No Match")</f>
        <v>2016/2017</v>
      </c>
      <c r="E468">
        <v>3</v>
      </c>
      <c r="F468" s="11">
        <v>43770</v>
      </c>
      <c r="G468">
        <f>_xlfn.XLOOKUP(Table2[[#This Row],[First_egg_lay_date]],'19-20_niwa_temp_data'!B:B,'19-20_niwa_temp_data'!G:G, "No Match")</f>
        <v>14.032106042928838</v>
      </c>
      <c r="H468">
        <v>3</v>
      </c>
      <c r="I468" s="11">
        <v>43773</v>
      </c>
      <c r="J468">
        <f>_xlfn.XLOOKUP(Table2[[#This Row],[Nest_box_ID]],Sheet1!A:A,Sheet1!L:L, "No Match")</f>
        <v>1</v>
      </c>
      <c r="K468" s="11">
        <v>43788</v>
      </c>
      <c r="L468">
        <f>_xlfn.XLOOKUP(Table2[[#This Row],[Nest_box_ID]],Sheet1!A:A,Sheet1!K:K, "No Match")</f>
        <v>15</v>
      </c>
      <c r="M468" s="11">
        <v>43786</v>
      </c>
      <c r="N468" s="16">
        <v>0.6</v>
      </c>
      <c r="O468">
        <v>13</v>
      </c>
      <c r="P468">
        <v>11</v>
      </c>
      <c r="Q468" t="s">
        <v>319</v>
      </c>
      <c r="R468">
        <v>300</v>
      </c>
      <c r="S468">
        <f>_xlfn.XLOOKUP(Table2[[#This Row],[Obs_date]],'19-20_niwa_temp_data'!B:B,'19-20_niwa_temp_data'!G:G, "N/A")</f>
        <v>15.768322675541617</v>
      </c>
      <c r="T468">
        <f>_xlfn.XLOOKUP(Table2[[#This Row],[First_egg_lay_date]],'19-20_niwa_temp_data'!B:B,'19-20_niwa_temp_data'!G:G, "No Match")</f>
        <v>14.032106042928838</v>
      </c>
    </row>
    <row r="469" spans="1:20" hidden="1" x14ac:dyDescent="0.35">
      <c r="A469" t="s">
        <v>9</v>
      </c>
      <c r="B469" t="s">
        <v>14</v>
      </c>
      <c r="C469" s="3" t="s">
        <v>103</v>
      </c>
      <c r="D469" t="str">
        <f>_xlfn.XLOOKUP(Table2[[#This Row],[Female_ID ]],'19-20_female_cohort'!I:I,'19-20_female_cohort'!H:H, "No Match")</f>
        <v>2016/2017</v>
      </c>
      <c r="E469">
        <v>3</v>
      </c>
      <c r="F469" s="11">
        <v>43770</v>
      </c>
      <c r="G469">
        <f>_xlfn.XLOOKUP(Table2[[#This Row],[First_egg_lay_date]],'19-20_niwa_temp_data'!B:B,'19-20_niwa_temp_data'!G:G, "No Match")</f>
        <v>14.032106042928838</v>
      </c>
      <c r="H469">
        <v>3</v>
      </c>
      <c r="I469" s="11">
        <v>43773</v>
      </c>
      <c r="J469">
        <f>_xlfn.XLOOKUP(Table2[[#This Row],[Nest_box_ID]],Sheet1!A:A,Sheet1!L:L, "No Match")</f>
        <v>1</v>
      </c>
      <c r="K469" s="11">
        <v>43788</v>
      </c>
      <c r="L469">
        <f>_xlfn.XLOOKUP(Table2[[#This Row],[Nest_box_ID]],Sheet1!A:A,Sheet1!K:K, "No Match")</f>
        <v>15</v>
      </c>
      <c r="M469" s="11">
        <v>43786</v>
      </c>
      <c r="N469" s="16">
        <v>0.60347222222222219</v>
      </c>
      <c r="O469">
        <v>13</v>
      </c>
      <c r="P469">
        <v>11</v>
      </c>
      <c r="Q469" t="s">
        <v>320</v>
      </c>
      <c r="R469" t="s">
        <v>254</v>
      </c>
      <c r="S469">
        <f>_xlfn.XLOOKUP(Table2[[#This Row],[Obs_date]],'19-20_niwa_temp_data'!B:B,'19-20_niwa_temp_data'!G:G, "N/A")</f>
        <v>15.768322675541617</v>
      </c>
      <c r="T469">
        <f>_xlfn.XLOOKUP(Table2[[#This Row],[First_egg_lay_date]],'19-20_niwa_temp_data'!B:B,'19-20_niwa_temp_data'!G:G, "No Match")</f>
        <v>14.032106042928838</v>
      </c>
    </row>
    <row r="470" spans="1:20" x14ac:dyDescent="0.35">
      <c r="A470" t="s">
        <v>9</v>
      </c>
      <c r="B470" t="s">
        <v>27</v>
      </c>
      <c r="C470" s="3" t="s">
        <v>116</v>
      </c>
      <c r="D470" t="str">
        <f>_xlfn.XLOOKUP(Table2[[#This Row],[Female_ID ]],'19-20_female_cohort'!I:I,'19-20_female_cohort'!H:H, "No Match")</f>
        <v>2014/2015</v>
      </c>
      <c r="E470">
        <v>5</v>
      </c>
      <c r="F470" s="11">
        <v>43774</v>
      </c>
      <c r="G470">
        <f>_xlfn.XLOOKUP(Table2[[#This Row],[First_egg_lay_date]],'19-20_niwa_temp_data'!B:B,'19-20_niwa_temp_data'!G:G, "No Match")</f>
        <v>16.129166128476697</v>
      </c>
      <c r="H470">
        <v>4</v>
      </c>
      <c r="I470" s="11">
        <v>43777</v>
      </c>
      <c r="J470">
        <f>_xlfn.XLOOKUP(Table2[[#This Row],[Nest_box_ID]],Sheet1!A:A,Sheet1!L:L, "No Match")</f>
        <v>0</v>
      </c>
      <c r="K470" s="11">
        <v>43791</v>
      </c>
      <c r="L470">
        <f>_xlfn.XLOOKUP(Table2[[#This Row],[Nest_box_ID]],Sheet1!A:A,Sheet1!K:K, "No Match")</f>
        <v>14</v>
      </c>
      <c r="M470" s="11">
        <v>43790</v>
      </c>
      <c r="N470" s="16">
        <v>0.69170138888888888</v>
      </c>
      <c r="O470">
        <v>13</v>
      </c>
      <c r="P470">
        <v>61</v>
      </c>
      <c r="Q470" t="s">
        <v>319</v>
      </c>
      <c r="R470">
        <v>487</v>
      </c>
      <c r="S470">
        <f>_xlfn.XLOOKUP(Table2[[#This Row],[Obs_date]],'19-20_niwa_temp_data'!B:B,'19-20_niwa_temp_data'!G:G, "N/A")</f>
        <v>16.25176913446656</v>
      </c>
      <c r="T470">
        <f>_xlfn.XLOOKUP(Table2[[#This Row],[First_egg_lay_date]],'19-20_niwa_temp_data'!B:B,'19-20_niwa_temp_data'!G:G, "No Match")</f>
        <v>16.129166128476697</v>
      </c>
    </row>
    <row r="471" spans="1:20" hidden="1" x14ac:dyDescent="0.35">
      <c r="A471" t="s">
        <v>9</v>
      </c>
      <c r="B471" t="s">
        <v>27</v>
      </c>
      <c r="C471" s="3" t="s">
        <v>116</v>
      </c>
      <c r="D471" t="str">
        <f>_xlfn.XLOOKUP(Table2[[#This Row],[Female_ID ]],'19-20_female_cohort'!I:I,'19-20_female_cohort'!H:H, "No Match")</f>
        <v>2014/2015</v>
      </c>
      <c r="E471">
        <v>5</v>
      </c>
      <c r="F471" s="11">
        <v>43774</v>
      </c>
      <c r="G471">
        <f>_xlfn.XLOOKUP(Table2[[#This Row],[First_egg_lay_date]],'19-20_niwa_temp_data'!B:B,'19-20_niwa_temp_data'!G:G, "No Match")</f>
        <v>16.129166128476697</v>
      </c>
      <c r="H471">
        <v>4</v>
      </c>
      <c r="I471" s="11">
        <v>43777</v>
      </c>
      <c r="J471">
        <f>_xlfn.XLOOKUP(Table2[[#This Row],[Nest_box_ID]],Sheet1!A:A,Sheet1!L:L, "No Match")</f>
        <v>0</v>
      </c>
      <c r="K471" s="11">
        <v>43791</v>
      </c>
      <c r="L471">
        <f>_xlfn.XLOOKUP(Table2[[#This Row],[Nest_box_ID]],Sheet1!A:A,Sheet1!K:K, "No Match")</f>
        <v>14</v>
      </c>
      <c r="M471" s="11">
        <v>43790</v>
      </c>
      <c r="N471" s="16">
        <v>0.69733796296296291</v>
      </c>
      <c r="O471">
        <v>13</v>
      </c>
      <c r="P471">
        <v>61</v>
      </c>
      <c r="Q471" t="s">
        <v>320</v>
      </c>
      <c r="R471">
        <v>557</v>
      </c>
      <c r="S471">
        <f>_xlfn.XLOOKUP(Table2[[#This Row],[Obs_date]],'19-20_niwa_temp_data'!B:B,'19-20_niwa_temp_data'!G:G, "N/A")</f>
        <v>16.25176913446656</v>
      </c>
      <c r="T471">
        <f>_xlfn.XLOOKUP(Table2[[#This Row],[First_egg_lay_date]],'19-20_niwa_temp_data'!B:B,'19-20_niwa_temp_data'!G:G, "No Match")</f>
        <v>16.129166128476697</v>
      </c>
    </row>
    <row r="472" spans="1:20" x14ac:dyDescent="0.35">
      <c r="A472" t="s">
        <v>9</v>
      </c>
      <c r="B472" t="s">
        <v>27</v>
      </c>
      <c r="C472" s="3" t="s">
        <v>116</v>
      </c>
      <c r="D472" t="str">
        <f>_xlfn.XLOOKUP(Table2[[#This Row],[Female_ID ]],'19-20_female_cohort'!I:I,'19-20_female_cohort'!H:H, "No Match")</f>
        <v>2014/2015</v>
      </c>
      <c r="E472">
        <v>5</v>
      </c>
      <c r="F472" s="11">
        <v>43774</v>
      </c>
      <c r="G472">
        <f>_xlfn.XLOOKUP(Table2[[#This Row],[First_egg_lay_date]],'19-20_niwa_temp_data'!B:B,'19-20_niwa_temp_data'!G:G, "No Match")</f>
        <v>16.129166128476697</v>
      </c>
      <c r="H472">
        <v>4</v>
      </c>
      <c r="I472" s="11">
        <v>43777</v>
      </c>
      <c r="J472">
        <f>_xlfn.XLOOKUP(Table2[[#This Row],[Nest_box_ID]],Sheet1!A:A,Sheet1!L:L, "No Match")</f>
        <v>0</v>
      </c>
      <c r="K472" s="11">
        <v>43791</v>
      </c>
      <c r="L472">
        <f>_xlfn.XLOOKUP(Table2[[#This Row],[Nest_box_ID]],Sheet1!A:A,Sheet1!K:K, "No Match")</f>
        <v>14</v>
      </c>
      <c r="M472" s="11">
        <v>43790</v>
      </c>
      <c r="N472" s="16">
        <v>0.70378472222222221</v>
      </c>
      <c r="O472">
        <v>13</v>
      </c>
      <c r="P472">
        <v>61</v>
      </c>
      <c r="Q472" t="s">
        <v>319</v>
      </c>
      <c r="R472">
        <v>323</v>
      </c>
      <c r="S472">
        <f>_xlfn.XLOOKUP(Table2[[#This Row],[Obs_date]],'19-20_niwa_temp_data'!B:B,'19-20_niwa_temp_data'!G:G, "N/A")</f>
        <v>16.25176913446656</v>
      </c>
      <c r="T472">
        <f>_xlfn.XLOOKUP(Table2[[#This Row],[First_egg_lay_date]],'19-20_niwa_temp_data'!B:B,'19-20_niwa_temp_data'!G:G, "No Match")</f>
        <v>16.129166128476697</v>
      </c>
    </row>
    <row r="473" spans="1:20" hidden="1" x14ac:dyDescent="0.35">
      <c r="A473" t="s">
        <v>9</v>
      </c>
      <c r="B473" t="s">
        <v>27</v>
      </c>
      <c r="C473" s="3" t="s">
        <v>116</v>
      </c>
      <c r="D473" t="str">
        <f>_xlfn.XLOOKUP(Table2[[#This Row],[Female_ID ]],'19-20_female_cohort'!I:I,'19-20_female_cohort'!H:H, "No Match")</f>
        <v>2014/2015</v>
      </c>
      <c r="E473">
        <v>5</v>
      </c>
      <c r="F473" s="11">
        <v>43774</v>
      </c>
      <c r="G473">
        <f>_xlfn.XLOOKUP(Table2[[#This Row],[First_egg_lay_date]],'19-20_niwa_temp_data'!B:B,'19-20_niwa_temp_data'!G:G, "No Match")</f>
        <v>16.129166128476697</v>
      </c>
      <c r="H473">
        <v>4</v>
      </c>
      <c r="I473" s="11">
        <v>43777</v>
      </c>
      <c r="J473">
        <f>_xlfn.XLOOKUP(Table2[[#This Row],[Nest_box_ID]],Sheet1!A:A,Sheet1!L:L, "No Match")</f>
        <v>0</v>
      </c>
      <c r="K473" s="11">
        <v>43791</v>
      </c>
      <c r="L473">
        <f>_xlfn.XLOOKUP(Table2[[#This Row],[Nest_box_ID]],Sheet1!A:A,Sheet1!K:K, "No Match")</f>
        <v>14</v>
      </c>
      <c r="M473" s="11">
        <v>43790</v>
      </c>
      <c r="N473" s="16">
        <v>0.7075231481481481</v>
      </c>
      <c r="O473">
        <v>13</v>
      </c>
      <c r="P473">
        <v>61</v>
      </c>
      <c r="Q473" t="s">
        <v>320</v>
      </c>
      <c r="R473" t="s">
        <v>254</v>
      </c>
      <c r="S473">
        <f>_xlfn.XLOOKUP(Table2[[#This Row],[Obs_date]],'19-20_niwa_temp_data'!B:B,'19-20_niwa_temp_data'!G:G, "N/A")</f>
        <v>16.25176913446656</v>
      </c>
      <c r="T473">
        <f>_xlfn.XLOOKUP(Table2[[#This Row],[First_egg_lay_date]],'19-20_niwa_temp_data'!B:B,'19-20_niwa_temp_data'!G:G, "No Match")</f>
        <v>16.129166128476697</v>
      </c>
    </row>
    <row r="474" spans="1:20" x14ac:dyDescent="0.35">
      <c r="A474" t="s">
        <v>9</v>
      </c>
      <c r="B474" t="s">
        <v>56</v>
      </c>
      <c r="C474" s="3" t="s">
        <v>145</v>
      </c>
      <c r="D474" t="str">
        <f>_xlfn.XLOOKUP(Table2[[#This Row],[Female_ID ]],'19-20_female_cohort'!I:I,'19-20_female_cohort'!H:H, "No Match")</f>
        <v>2018/2019</v>
      </c>
      <c r="E474">
        <v>1</v>
      </c>
      <c r="F474" s="11">
        <v>43790</v>
      </c>
      <c r="G474">
        <f>_xlfn.XLOOKUP(Table2[[#This Row],[First_egg_lay_date]],'19-20_niwa_temp_data'!B:B,'19-20_niwa_temp_data'!G:G, "No Match")</f>
        <v>16.25176913446656</v>
      </c>
      <c r="H474">
        <v>4</v>
      </c>
      <c r="I474" s="11">
        <v>43794</v>
      </c>
      <c r="J474">
        <f>_xlfn.XLOOKUP(Table2[[#This Row],[Nest_box_ID]],Sheet1!A:A,Sheet1!L:L, "No Match")</f>
        <v>0</v>
      </c>
      <c r="K474" s="11">
        <v>43808</v>
      </c>
      <c r="L474">
        <f>_xlfn.XLOOKUP(Table2[[#This Row],[Nest_box_ID]],Sheet1!A:A,Sheet1!K:K, "No Match")</f>
        <v>14</v>
      </c>
      <c r="M474" s="11">
        <v>43795</v>
      </c>
      <c r="N474" s="16">
        <v>0.57357638888888884</v>
      </c>
      <c r="O474">
        <v>1</v>
      </c>
      <c r="P474">
        <v>33.516666669999999</v>
      </c>
      <c r="Q474" t="s">
        <v>319</v>
      </c>
      <c r="R474">
        <v>274</v>
      </c>
      <c r="S474">
        <f>_xlfn.XLOOKUP(Table2[[#This Row],[Obs_date]],'19-20_niwa_temp_data'!B:B,'19-20_niwa_temp_data'!G:G, "N/A")</f>
        <v>16.664933243190625</v>
      </c>
      <c r="T474">
        <f>_xlfn.XLOOKUP(Table2[[#This Row],[First_egg_lay_date]],'19-20_niwa_temp_data'!B:B,'19-20_niwa_temp_data'!G:G, "No Match")</f>
        <v>16.25176913446656</v>
      </c>
    </row>
    <row r="475" spans="1:20" hidden="1" x14ac:dyDescent="0.35">
      <c r="A475" t="s">
        <v>9</v>
      </c>
      <c r="B475" t="s">
        <v>56</v>
      </c>
      <c r="C475" s="3" t="s">
        <v>145</v>
      </c>
      <c r="D475" t="str">
        <f>_xlfn.XLOOKUP(Table2[[#This Row],[Female_ID ]],'19-20_female_cohort'!I:I,'19-20_female_cohort'!H:H, "No Match")</f>
        <v>2018/2019</v>
      </c>
      <c r="E475">
        <v>1</v>
      </c>
      <c r="F475" s="11">
        <v>43790</v>
      </c>
      <c r="G475">
        <f>_xlfn.XLOOKUP(Table2[[#This Row],[First_egg_lay_date]],'19-20_niwa_temp_data'!B:B,'19-20_niwa_temp_data'!G:G, "No Match")</f>
        <v>16.25176913446656</v>
      </c>
      <c r="H475">
        <v>4</v>
      </c>
      <c r="I475" s="11">
        <v>43794</v>
      </c>
      <c r="J475">
        <f>_xlfn.XLOOKUP(Table2[[#This Row],[Nest_box_ID]],Sheet1!A:A,Sheet1!L:L, "No Match")</f>
        <v>0</v>
      </c>
      <c r="K475" s="11">
        <v>43808</v>
      </c>
      <c r="L475">
        <f>_xlfn.XLOOKUP(Table2[[#This Row],[Nest_box_ID]],Sheet1!A:A,Sheet1!K:K, "No Match")</f>
        <v>14</v>
      </c>
      <c r="M475" s="11">
        <v>43795</v>
      </c>
      <c r="N475" s="16">
        <v>0.57674768518518515</v>
      </c>
      <c r="O475">
        <v>1</v>
      </c>
      <c r="P475">
        <v>33.516666669999999</v>
      </c>
      <c r="Q475" t="s">
        <v>320</v>
      </c>
      <c r="R475" t="s">
        <v>254</v>
      </c>
      <c r="S475">
        <f>_xlfn.XLOOKUP(Table2[[#This Row],[Obs_date]],'19-20_niwa_temp_data'!B:B,'19-20_niwa_temp_data'!G:G, "N/A")</f>
        <v>16.664933243190625</v>
      </c>
      <c r="T475">
        <f>_xlfn.XLOOKUP(Table2[[#This Row],[First_egg_lay_date]],'19-20_niwa_temp_data'!B:B,'19-20_niwa_temp_data'!G:G, "No Match")</f>
        <v>16.25176913446656</v>
      </c>
    </row>
    <row r="476" spans="1:20" hidden="1" x14ac:dyDescent="0.35">
      <c r="A476" t="s">
        <v>9</v>
      </c>
      <c r="B476" t="s">
        <v>12</v>
      </c>
      <c r="C476" s="3" t="s">
        <v>101</v>
      </c>
      <c r="D476" t="str">
        <f>_xlfn.XLOOKUP(Table2[[#This Row],[Female_ID ]],'19-20_female_cohort'!I:I,'19-20_female_cohort'!H:H, "No Match")</f>
        <v>2015/2016</v>
      </c>
      <c r="E476">
        <v>4</v>
      </c>
      <c r="F476" s="11">
        <v>43766</v>
      </c>
      <c r="G476">
        <f>_xlfn.XLOOKUP(Table2[[#This Row],[First_egg_lay_date]],'19-20_niwa_temp_data'!B:B,'19-20_niwa_temp_data'!G:G, "No Match")</f>
        <v>15.398701243936127</v>
      </c>
      <c r="H476">
        <v>4</v>
      </c>
      <c r="I476" s="11">
        <v>43769</v>
      </c>
      <c r="J476">
        <f>_xlfn.XLOOKUP(Table2[[#This Row],[Nest_box_ID]],Sheet1!A:A,Sheet1!L:L, "No Match")</f>
        <v>0</v>
      </c>
      <c r="K476" s="11">
        <v>43783</v>
      </c>
      <c r="L476">
        <f>_xlfn.XLOOKUP(Table2[[#This Row],[Nest_box_ID]],Sheet1!A:A,Sheet1!K:K, "No Match")</f>
        <v>14</v>
      </c>
      <c r="M476" s="11">
        <v>43771</v>
      </c>
      <c r="N476" s="16">
        <v>0.52222222222222225</v>
      </c>
      <c r="O476">
        <v>3</v>
      </c>
      <c r="P476">
        <v>70.8</v>
      </c>
      <c r="Q476" t="s">
        <v>320</v>
      </c>
      <c r="R476" t="s">
        <v>254</v>
      </c>
      <c r="S476">
        <f>_xlfn.XLOOKUP(Table2[[#This Row],[Obs_date]],'19-20_niwa_temp_data'!B:B,'19-20_niwa_temp_data'!G:G, "N/A")</f>
        <v>13.655768012089251</v>
      </c>
      <c r="T476">
        <f>_xlfn.XLOOKUP(Table2[[#This Row],[First_egg_lay_date]],'19-20_niwa_temp_data'!B:B,'19-20_niwa_temp_data'!G:G, "No Match")</f>
        <v>15.398701243936127</v>
      </c>
    </row>
    <row r="477" spans="1:20" x14ac:dyDescent="0.35">
      <c r="A477" t="s">
        <v>9</v>
      </c>
      <c r="B477" t="s">
        <v>12</v>
      </c>
      <c r="C477" s="3" t="s">
        <v>101</v>
      </c>
      <c r="D477" t="str">
        <f>_xlfn.XLOOKUP(Table2[[#This Row],[Female_ID ]],'19-20_female_cohort'!I:I,'19-20_female_cohort'!H:H, "No Match")</f>
        <v>2015/2016</v>
      </c>
      <c r="E477">
        <v>4</v>
      </c>
      <c r="F477" s="11">
        <v>43766</v>
      </c>
      <c r="G477">
        <f>_xlfn.XLOOKUP(Table2[[#This Row],[First_egg_lay_date]],'19-20_niwa_temp_data'!B:B,'19-20_niwa_temp_data'!G:G, "No Match")</f>
        <v>15.398701243936127</v>
      </c>
      <c r="H477">
        <v>4</v>
      </c>
      <c r="I477" s="11">
        <v>43769</v>
      </c>
      <c r="J477">
        <f>_xlfn.XLOOKUP(Table2[[#This Row],[Nest_box_ID]],Sheet1!A:A,Sheet1!L:L, "No Match")</f>
        <v>0</v>
      </c>
      <c r="K477" s="11">
        <v>43783</v>
      </c>
      <c r="L477">
        <f>_xlfn.XLOOKUP(Table2[[#This Row],[Nest_box_ID]],Sheet1!A:A,Sheet1!K:K, "No Match")</f>
        <v>14</v>
      </c>
      <c r="M477" s="11">
        <v>43771</v>
      </c>
      <c r="N477" s="16">
        <v>0.52361111111111114</v>
      </c>
      <c r="O477">
        <v>3</v>
      </c>
      <c r="P477">
        <v>70.8</v>
      </c>
      <c r="Q477" t="s">
        <v>319</v>
      </c>
      <c r="R477">
        <v>240</v>
      </c>
      <c r="S477">
        <f>_xlfn.XLOOKUP(Table2[[#This Row],[Obs_date]],'19-20_niwa_temp_data'!B:B,'19-20_niwa_temp_data'!G:G, "N/A")</f>
        <v>13.655768012089251</v>
      </c>
      <c r="T477">
        <f>_xlfn.XLOOKUP(Table2[[#This Row],[First_egg_lay_date]],'19-20_niwa_temp_data'!B:B,'19-20_niwa_temp_data'!G:G, "No Match")</f>
        <v>15.398701243936127</v>
      </c>
    </row>
    <row r="478" spans="1:20" hidden="1" x14ac:dyDescent="0.35">
      <c r="A478" t="s">
        <v>9</v>
      </c>
      <c r="B478" t="s">
        <v>12</v>
      </c>
      <c r="C478" s="3" t="s">
        <v>101</v>
      </c>
      <c r="D478" t="str">
        <f>_xlfn.XLOOKUP(Table2[[#This Row],[Female_ID ]],'19-20_female_cohort'!I:I,'19-20_female_cohort'!H:H, "No Match")</f>
        <v>2015/2016</v>
      </c>
      <c r="E478">
        <v>4</v>
      </c>
      <c r="F478" s="11">
        <v>43766</v>
      </c>
      <c r="G478">
        <f>_xlfn.XLOOKUP(Table2[[#This Row],[First_egg_lay_date]],'19-20_niwa_temp_data'!B:B,'19-20_niwa_temp_data'!G:G, "No Match")</f>
        <v>15.398701243936127</v>
      </c>
      <c r="H478">
        <v>4</v>
      </c>
      <c r="I478" s="11">
        <v>43769</v>
      </c>
      <c r="J478">
        <f>_xlfn.XLOOKUP(Table2[[#This Row],[Nest_box_ID]],Sheet1!A:A,Sheet1!L:L, "No Match")</f>
        <v>0</v>
      </c>
      <c r="K478" s="11">
        <v>43783</v>
      </c>
      <c r="L478">
        <f>_xlfn.XLOOKUP(Table2[[#This Row],[Nest_box_ID]],Sheet1!A:A,Sheet1!K:K, "No Match")</f>
        <v>14</v>
      </c>
      <c r="M478" s="11">
        <v>43771</v>
      </c>
      <c r="N478" s="16">
        <v>0.52638888888888891</v>
      </c>
      <c r="O478">
        <v>3</v>
      </c>
      <c r="P478">
        <v>70.8</v>
      </c>
      <c r="Q478" t="s">
        <v>320</v>
      </c>
      <c r="R478">
        <v>578</v>
      </c>
      <c r="S478">
        <f>_xlfn.XLOOKUP(Table2[[#This Row],[Obs_date]],'19-20_niwa_temp_data'!B:B,'19-20_niwa_temp_data'!G:G, "N/A")</f>
        <v>13.655768012089251</v>
      </c>
      <c r="T478">
        <f>_xlfn.XLOOKUP(Table2[[#This Row],[First_egg_lay_date]],'19-20_niwa_temp_data'!B:B,'19-20_niwa_temp_data'!G:G, "No Match")</f>
        <v>15.398701243936127</v>
      </c>
    </row>
    <row r="479" spans="1:20" x14ac:dyDescent="0.35">
      <c r="A479" t="s">
        <v>9</v>
      </c>
      <c r="B479" t="s">
        <v>12</v>
      </c>
      <c r="C479" s="3" t="s">
        <v>101</v>
      </c>
      <c r="D479" t="str">
        <f>_xlfn.XLOOKUP(Table2[[#This Row],[Female_ID ]],'19-20_female_cohort'!I:I,'19-20_female_cohort'!H:H, "No Match")</f>
        <v>2015/2016</v>
      </c>
      <c r="E479">
        <v>4</v>
      </c>
      <c r="F479" s="11">
        <v>43766</v>
      </c>
      <c r="G479">
        <f>_xlfn.XLOOKUP(Table2[[#This Row],[First_egg_lay_date]],'19-20_niwa_temp_data'!B:B,'19-20_niwa_temp_data'!G:G, "No Match")</f>
        <v>15.398701243936127</v>
      </c>
      <c r="H479">
        <v>4</v>
      </c>
      <c r="I479" s="11">
        <v>43769</v>
      </c>
      <c r="J479">
        <f>_xlfn.XLOOKUP(Table2[[#This Row],[Nest_box_ID]],Sheet1!A:A,Sheet1!L:L, "No Match")</f>
        <v>0</v>
      </c>
      <c r="K479" s="11">
        <v>43783</v>
      </c>
      <c r="L479">
        <f>_xlfn.XLOOKUP(Table2[[#This Row],[Nest_box_ID]],Sheet1!A:A,Sheet1!K:K, "No Match")</f>
        <v>14</v>
      </c>
      <c r="M479" s="11">
        <v>43771</v>
      </c>
      <c r="N479" s="16">
        <v>0.53307870370370369</v>
      </c>
      <c r="O479">
        <v>3</v>
      </c>
      <c r="P479">
        <v>70.8</v>
      </c>
      <c r="Q479" t="s">
        <v>319</v>
      </c>
      <c r="R479">
        <v>342</v>
      </c>
      <c r="S479">
        <f>_xlfn.XLOOKUP(Table2[[#This Row],[Obs_date]],'19-20_niwa_temp_data'!B:B,'19-20_niwa_temp_data'!G:G, "N/A")</f>
        <v>13.655768012089251</v>
      </c>
      <c r="T479">
        <f>_xlfn.XLOOKUP(Table2[[#This Row],[First_egg_lay_date]],'19-20_niwa_temp_data'!B:B,'19-20_niwa_temp_data'!G:G, "No Match")</f>
        <v>15.398701243936127</v>
      </c>
    </row>
    <row r="480" spans="1:20" hidden="1" x14ac:dyDescent="0.35">
      <c r="A480" t="s">
        <v>9</v>
      </c>
      <c r="B480" t="s">
        <v>12</v>
      </c>
      <c r="C480" s="3" t="s">
        <v>101</v>
      </c>
      <c r="D480" t="str">
        <f>_xlfn.XLOOKUP(Table2[[#This Row],[Female_ID ]],'19-20_female_cohort'!I:I,'19-20_female_cohort'!H:H, "No Match")</f>
        <v>2015/2016</v>
      </c>
      <c r="E480">
        <v>4</v>
      </c>
      <c r="F480" s="11">
        <v>43766</v>
      </c>
      <c r="G480">
        <f>_xlfn.XLOOKUP(Table2[[#This Row],[First_egg_lay_date]],'19-20_niwa_temp_data'!B:B,'19-20_niwa_temp_data'!G:G, "No Match")</f>
        <v>15.398701243936127</v>
      </c>
      <c r="H480">
        <v>4</v>
      </c>
      <c r="I480" s="11">
        <v>43769</v>
      </c>
      <c r="J480">
        <f>_xlfn.XLOOKUP(Table2[[#This Row],[Nest_box_ID]],Sheet1!A:A,Sheet1!L:L, "No Match")</f>
        <v>0</v>
      </c>
      <c r="K480" s="11">
        <v>43783</v>
      </c>
      <c r="L480">
        <f>_xlfn.XLOOKUP(Table2[[#This Row],[Nest_box_ID]],Sheet1!A:A,Sheet1!K:K, "No Match")</f>
        <v>14</v>
      </c>
      <c r="M480" s="11">
        <v>43771</v>
      </c>
      <c r="N480" s="16">
        <v>0.53703703703703709</v>
      </c>
      <c r="O480">
        <v>3</v>
      </c>
      <c r="P480">
        <v>70.8</v>
      </c>
      <c r="Q480" t="s">
        <v>320</v>
      </c>
      <c r="R480">
        <v>1330</v>
      </c>
      <c r="S480">
        <f>_xlfn.XLOOKUP(Table2[[#This Row],[Obs_date]],'19-20_niwa_temp_data'!B:B,'19-20_niwa_temp_data'!G:G, "N/A")</f>
        <v>13.655768012089251</v>
      </c>
      <c r="T480">
        <f>_xlfn.XLOOKUP(Table2[[#This Row],[First_egg_lay_date]],'19-20_niwa_temp_data'!B:B,'19-20_niwa_temp_data'!G:G, "No Match")</f>
        <v>15.398701243936127</v>
      </c>
    </row>
    <row r="481" spans="1:20" x14ac:dyDescent="0.35">
      <c r="A481" t="s">
        <v>9</v>
      </c>
      <c r="B481" t="s">
        <v>12</v>
      </c>
      <c r="C481" s="3" t="s">
        <v>101</v>
      </c>
      <c r="D481" t="str">
        <f>_xlfn.XLOOKUP(Table2[[#This Row],[Female_ID ]],'19-20_female_cohort'!I:I,'19-20_female_cohort'!H:H, "No Match")</f>
        <v>2015/2016</v>
      </c>
      <c r="E481">
        <v>4</v>
      </c>
      <c r="F481" s="11">
        <v>43766</v>
      </c>
      <c r="G481">
        <f>_xlfn.XLOOKUP(Table2[[#This Row],[First_egg_lay_date]],'19-20_niwa_temp_data'!B:B,'19-20_niwa_temp_data'!G:G, "No Match")</f>
        <v>15.398701243936127</v>
      </c>
      <c r="H481">
        <v>4</v>
      </c>
      <c r="I481" s="11">
        <v>43769</v>
      </c>
      <c r="J481">
        <f>_xlfn.XLOOKUP(Table2[[#This Row],[Nest_box_ID]],Sheet1!A:A,Sheet1!L:L, "No Match")</f>
        <v>0</v>
      </c>
      <c r="K481" s="11">
        <v>43783</v>
      </c>
      <c r="L481">
        <f>_xlfn.XLOOKUP(Table2[[#This Row],[Nest_box_ID]],Sheet1!A:A,Sheet1!K:K, "No Match")</f>
        <v>14</v>
      </c>
      <c r="M481" s="11">
        <v>43771</v>
      </c>
      <c r="N481" s="16">
        <v>0.55243055555555554</v>
      </c>
      <c r="O481">
        <v>3</v>
      </c>
      <c r="P481">
        <v>70.8</v>
      </c>
      <c r="Q481" t="s">
        <v>319</v>
      </c>
      <c r="R481">
        <v>360</v>
      </c>
      <c r="S481">
        <f>_xlfn.XLOOKUP(Table2[[#This Row],[Obs_date]],'19-20_niwa_temp_data'!B:B,'19-20_niwa_temp_data'!G:G, "N/A")</f>
        <v>13.655768012089251</v>
      </c>
      <c r="T481">
        <f>_xlfn.XLOOKUP(Table2[[#This Row],[First_egg_lay_date]],'19-20_niwa_temp_data'!B:B,'19-20_niwa_temp_data'!G:G, "No Match")</f>
        <v>15.398701243936127</v>
      </c>
    </row>
    <row r="482" spans="1:20" hidden="1" x14ac:dyDescent="0.35">
      <c r="A482" t="s">
        <v>9</v>
      </c>
      <c r="B482" t="s">
        <v>12</v>
      </c>
      <c r="C482" s="3" t="s">
        <v>101</v>
      </c>
      <c r="D482" t="str">
        <f>_xlfn.XLOOKUP(Table2[[#This Row],[Female_ID ]],'19-20_female_cohort'!I:I,'19-20_female_cohort'!H:H, "No Match")</f>
        <v>2015/2016</v>
      </c>
      <c r="E482">
        <v>4</v>
      </c>
      <c r="F482" s="11">
        <v>43766</v>
      </c>
      <c r="G482">
        <f>_xlfn.XLOOKUP(Table2[[#This Row],[First_egg_lay_date]],'19-20_niwa_temp_data'!B:B,'19-20_niwa_temp_data'!G:G, "No Match")</f>
        <v>15.398701243936127</v>
      </c>
      <c r="H482">
        <v>4</v>
      </c>
      <c r="I482" s="11">
        <v>43769</v>
      </c>
      <c r="J482">
        <f>_xlfn.XLOOKUP(Table2[[#This Row],[Nest_box_ID]],Sheet1!A:A,Sheet1!L:L, "No Match")</f>
        <v>0</v>
      </c>
      <c r="K482" s="11">
        <v>43783</v>
      </c>
      <c r="L482">
        <f>_xlfn.XLOOKUP(Table2[[#This Row],[Nest_box_ID]],Sheet1!A:A,Sheet1!K:K, "No Match")</f>
        <v>14</v>
      </c>
      <c r="M482" s="11">
        <v>43771</v>
      </c>
      <c r="N482" s="16">
        <v>0.55659722222222219</v>
      </c>
      <c r="O482">
        <v>3</v>
      </c>
      <c r="P482">
        <v>70.8</v>
      </c>
      <c r="Q482" t="s">
        <v>320</v>
      </c>
      <c r="R482">
        <v>1278</v>
      </c>
      <c r="S482">
        <f>_xlfn.XLOOKUP(Table2[[#This Row],[Obs_date]],'19-20_niwa_temp_data'!B:B,'19-20_niwa_temp_data'!G:G, "N/A")</f>
        <v>13.655768012089251</v>
      </c>
      <c r="T482">
        <f>_xlfn.XLOOKUP(Table2[[#This Row],[First_egg_lay_date]],'19-20_niwa_temp_data'!B:B,'19-20_niwa_temp_data'!G:G, "No Match")</f>
        <v>15.398701243936127</v>
      </c>
    </row>
    <row r="483" spans="1:20" hidden="1" x14ac:dyDescent="0.35">
      <c r="A483" t="s">
        <v>9</v>
      </c>
      <c r="B483" t="s">
        <v>12</v>
      </c>
      <c r="C483" s="3" t="s">
        <v>101</v>
      </c>
      <c r="D483" t="str">
        <f>_xlfn.XLOOKUP(Table2[[#This Row],[Female_ID ]],'19-20_female_cohort'!I:I,'19-20_female_cohort'!H:H, "No Match")</f>
        <v>2015/2016</v>
      </c>
      <c r="E483">
        <v>4</v>
      </c>
      <c r="F483" s="11">
        <v>43766</v>
      </c>
      <c r="G483">
        <f>_xlfn.XLOOKUP(Table2[[#This Row],[First_egg_lay_date]],'19-20_niwa_temp_data'!B:B,'19-20_niwa_temp_data'!G:G, "No Match")</f>
        <v>15.398701243936127</v>
      </c>
      <c r="H483">
        <v>4</v>
      </c>
      <c r="I483" s="11">
        <v>43769</v>
      </c>
      <c r="J483">
        <f>_xlfn.XLOOKUP(Table2[[#This Row],[Nest_box_ID]],Sheet1!A:A,Sheet1!L:L, "No Match")</f>
        <v>0</v>
      </c>
      <c r="K483" s="11">
        <v>43783</v>
      </c>
      <c r="L483">
        <f>_xlfn.XLOOKUP(Table2[[#This Row],[Nest_box_ID]],Sheet1!A:A,Sheet1!K:K, "No Match")</f>
        <v>14</v>
      </c>
      <c r="M483" s="11">
        <v>43771</v>
      </c>
      <c r="N483" s="16">
        <v>0.57138888888888884</v>
      </c>
      <c r="O483">
        <v>3</v>
      </c>
      <c r="P483">
        <v>70.8</v>
      </c>
      <c r="Q483" t="s">
        <v>319</v>
      </c>
      <c r="R483" t="s">
        <v>254</v>
      </c>
      <c r="S483">
        <f>_xlfn.XLOOKUP(Table2[[#This Row],[Obs_date]],'19-20_niwa_temp_data'!B:B,'19-20_niwa_temp_data'!G:G, "N/A")</f>
        <v>13.655768012089251</v>
      </c>
      <c r="T483">
        <f>_xlfn.XLOOKUP(Table2[[#This Row],[First_egg_lay_date]],'19-20_niwa_temp_data'!B:B,'19-20_niwa_temp_data'!G:G, "No Match")</f>
        <v>15.398701243936127</v>
      </c>
    </row>
    <row r="484" spans="1:20" x14ac:dyDescent="0.35">
      <c r="A484" t="s">
        <v>9</v>
      </c>
      <c r="B484" t="s">
        <v>12</v>
      </c>
      <c r="C484" s="3" t="s">
        <v>101</v>
      </c>
      <c r="D484" t="str">
        <f>_xlfn.XLOOKUP(Table2[[#This Row],[Female_ID ]],'19-20_female_cohort'!I:I,'19-20_female_cohort'!H:H, "No Match")</f>
        <v>2015/2016</v>
      </c>
      <c r="E484">
        <v>4</v>
      </c>
      <c r="F484" s="11">
        <v>43766</v>
      </c>
      <c r="G484">
        <f>_xlfn.XLOOKUP(Table2[[#This Row],[First_egg_lay_date]],'19-20_niwa_temp_data'!B:B,'19-20_niwa_temp_data'!G:G, "No Match")</f>
        <v>15.398701243936127</v>
      </c>
      <c r="H484">
        <v>4</v>
      </c>
      <c r="I484" s="11">
        <v>43769</v>
      </c>
      <c r="J484">
        <f>_xlfn.XLOOKUP(Table2[[#This Row],[Nest_box_ID]],Sheet1!A:A,Sheet1!L:L, "No Match")</f>
        <v>0</v>
      </c>
      <c r="K484" s="11">
        <v>43783</v>
      </c>
      <c r="L484">
        <f>_xlfn.XLOOKUP(Table2[[#This Row],[Nest_box_ID]],Sheet1!A:A,Sheet1!K:K, "No Match")</f>
        <v>14</v>
      </c>
      <c r="M484" s="11">
        <v>43776</v>
      </c>
      <c r="N484" s="16">
        <v>0.46296296296296297</v>
      </c>
      <c r="O484">
        <v>7</v>
      </c>
      <c r="P484">
        <v>64</v>
      </c>
      <c r="Q484" t="s">
        <v>319</v>
      </c>
      <c r="R484">
        <v>259</v>
      </c>
      <c r="S484">
        <f>_xlfn.XLOOKUP(Table2[[#This Row],[Obs_date]],'19-20_niwa_temp_data'!B:B,'19-20_niwa_temp_data'!G:G, "N/A")</f>
        <v>17.675972391922318</v>
      </c>
      <c r="T484">
        <f>_xlfn.XLOOKUP(Table2[[#This Row],[First_egg_lay_date]],'19-20_niwa_temp_data'!B:B,'19-20_niwa_temp_data'!G:G, "No Match")</f>
        <v>15.398701243936127</v>
      </c>
    </row>
    <row r="485" spans="1:20" hidden="1" x14ac:dyDescent="0.35">
      <c r="A485" t="s">
        <v>9</v>
      </c>
      <c r="B485" t="s">
        <v>12</v>
      </c>
      <c r="C485" s="3" t="s">
        <v>101</v>
      </c>
      <c r="D485" t="str">
        <f>_xlfn.XLOOKUP(Table2[[#This Row],[Female_ID ]],'19-20_female_cohort'!I:I,'19-20_female_cohort'!H:H, "No Match")</f>
        <v>2015/2016</v>
      </c>
      <c r="E485">
        <v>4</v>
      </c>
      <c r="F485" s="11">
        <v>43766</v>
      </c>
      <c r="G485">
        <f>_xlfn.XLOOKUP(Table2[[#This Row],[First_egg_lay_date]],'19-20_niwa_temp_data'!B:B,'19-20_niwa_temp_data'!G:G, "No Match")</f>
        <v>15.398701243936127</v>
      </c>
      <c r="H485">
        <v>4</v>
      </c>
      <c r="I485" s="11">
        <v>43769</v>
      </c>
      <c r="J485">
        <f>_xlfn.XLOOKUP(Table2[[#This Row],[Nest_box_ID]],Sheet1!A:A,Sheet1!L:L, "No Match")</f>
        <v>0</v>
      </c>
      <c r="K485" s="11">
        <v>43783</v>
      </c>
      <c r="L485">
        <f>_xlfn.XLOOKUP(Table2[[#This Row],[Nest_box_ID]],Sheet1!A:A,Sheet1!K:K, "No Match")</f>
        <v>14</v>
      </c>
      <c r="M485" s="11">
        <v>43776</v>
      </c>
      <c r="N485" s="16">
        <v>0.46596064814814814</v>
      </c>
      <c r="O485">
        <v>7</v>
      </c>
      <c r="P485">
        <v>64</v>
      </c>
      <c r="Q485" t="s">
        <v>320</v>
      </c>
      <c r="R485">
        <v>356</v>
      </c>
      <c r="S485">
        <f>_xlfn.XLOOKUP(Table2[[#This Row],[Obs_date]],'19-20_niwa_temp_data'!B:B,'19-20_niwa_temp_data'!G:G, "N/A")</f>
        <v>17.675972391922318</v>
      </c>
      <c r="T485">
        <f>_xlfn.XLOOKUP(Table2[[#This Row],[First_egg_lay_date]],'19-20_niwa_temp_data'!B:B,'19-20_niwa_temp_data'!G:G, "No Match")</f>
        <v>15.398701243936127</v>
      </c>
    </row>
    <row r="486" spans="1:20" x14ac:dyDescent="0.35">
      <c r="A486" t="s">
        <v>9</v>
      </c>
      <c r="B486" t="s">
        <v>12</v>
      </c>
      <c r="C486" s="3" t="s">
        <v>101</v>
      </c>
      <c r="D486" t="str">
        <f>_xlfn.XLOOKUP(Table2[[#This Row],[Female_ID ]],'19-20_female_cohort'!I:I,'19-20_female_cohort'!H:H, "No Match")</f>
        <v>2015/2016</v>
      </c>
      <c r="E486">
        <v>4</v>
      </c>
      <c r="F486" s="11">
        <v>43766</v>
      </c>
      <c r="G486">
        <f>_xlfn.XLOOKUP(Table2[[#This Row],[First_egg_lay_date]],'19-20_niwa_temp_data'!B:B,'19-20_niwa_temp_data'!G:G, "No Match")</f>
        <v>15.398701243936127</v>
      </c>
      <c r="H486">
        <v>4</v>
      </c>
      <c r="I486" s="11">
        <v>43769</v>
      </c>
      <c r="J486">
        <f>_xlfn.XLOOKUP(Table2[[#This Row],[Nest_box_ID]],Sheet1!A:A,Sheet1!L:L, "No Match")</f>
        <v>0</v>
      </c>
      <c r="K486" s="11">
        <v>43783</v>
      </c>
      <c r="L486">
        <f>_xlfn.XLOOKUP(Table2[[#This Row],[Nest_box_ID]],Sheet1!A:A,Sheet1!K:K, "No Match")</f>
        <v>14</v>
      </c>
      <c r="M486" s="11">
        <v>43776</v>
      </c>
      <c r="N486" s="16">
        <v>0.47008101851851852</v>
      </c>
      <c r="O486">
        <v>7</v>
      </c>
      <c r="P486">
        <v>64</v>
      </c>
      <c r="Q486" t="s">
        <v>319</v>
      </c>
      <c r="R486">
        <v>189</v>
      </c>
      <c r="S486">
        <f>_xlfn.XLOOKUP(Table2[[#This Row],[Obs_date]],'19-20_niwa_temp_data'!B:B,'19-20_niwa_temp_data'!G:G, "N/A")</f>
        <v>17.675972391922318</v>
      </c>
      <c r="T486">
        <f>_xlfn.XLOOKUP(Table2[[#This Row],[First_egg_lay_date]],'19-20_niwa_temp_data'!B:B,'19-20_niwa_temp_data'!G:G, "No Match")</f>
        <v>15.398701243936127</v>
      </c>
    </row>
    <row r="487" spans="1:20" hidden="1" x14ac:dyDescent="0.35">
      <c r="A487" t="s">
        <v>9</v>
      </c>
      <c r="B487" t="s">
        <v>12</v>
      </c>
      <c r="C487" s="3" t="s">
        <v>101</v>
      </c>
      <c r="D487" t="str">
        <f>_xlfn.XLOOKUP(Table2[[#This Row],[Female_ID ]],'19-20_female_cohort'!I:I,'19-20_female_cohort'!H:H, "No Match")</f>
        <v>2015/2016</v>
      </c>
      <c r="E487">
        <v>4</v>
      </c>
      <c r="F487" s="11">
        <v>43766</v>
      </c>
      <c r="G487">
        <f>_xlfn.XLOOKUP(Table2[[#This Row],[First_egg_lay_date]],'19-20_niwa_temp_data'!B:B,'19-20_niwa_temp_data'!G:G, "No Match")</f>
        <v>15.398701243936127</v>
      </c>
      <c r="H487">
        <v>4</v>
      </c>
      <c r="I487" s="11">
        <v>43769</v>
      </c>
      <c r="J487">
        <f>_xlfn.XLOOKUP(Table2[[#This Row],[Nest_box_ID]],Sheet1!A:A,Sheet1!L:L, "No Match")</f>
        <v>0</v>
      </c>
      <c r="K487" s="11">
        <v>43783</v>
      </c>
      <c r="L487">
        <f>_xlfn.XLOOKUP(Table2[[#This Row],[Nest_box_ID]],Sheet1!A:A,Sheet1!K:K, "No Match")</f>
        <v>14</v>
      </c>
      <c r="M487" s="11">
        <v>43776</v>
      </c>
      <c r="N487" s="16">
        <v>0.47226851851851853</v>
      </c>
      <c r="O487">
        <v>7</v>
      </c>
      <c r="P487">
        <v>64</v>
      </c>
      <c r="Q487" t="s">
        <v>320</v>
      </c>
      <c r="R487">
        <v>1388</v>
      </c>
      <c r="S487">
        <f>_xlfn.XLOOKUP(Table2[[#This Row],[Obs_date]],'19-20_niwa_temp_data'!B:B,'19-20_niwa_temp_data'!G:G, "N/A")</f>
        <v>17.675972391922318</v>
      </c>
      <c r="T487">
        <f>_xlfn.XLOOKUP(Table2[[#This Row],[First_egg_lay_date]],'19-20_niwa_temp_data'!B:B,'19-20_niwa_temp_data'!G:G, "No Match")</f>
        <v>15.398701243936127</v>
      </c>
    </row>
    <row r="488" spans="1:20" x14ac:dyDescent="0.35">
      <c r="A488" t="s">
        <v>9</v>
      </c>
      <c r="B488" t="s">
        <v>12</v>
      </c>
      <c r="C488" s="3" t="s">
        <v>101</v>
      </c>
      <c r="D488" t="str">
        <f>_xlfn.XLOOKUP(Table2[[#This Row],[Female_ID ]],'19-20_female_cohort'!I:I,'19-20_female_cohort'!H:H, "No Match")</f>
        <v>2015/2016</v>
      </c>
      <c r="E488">
        <v>4</v>
      </c>
      <c r="F488" s="11">
        <v>43766</v>
      </c>
      <c r="G488">
        <f>_xlfn.XLOOKUP(Table2[[#This Row],[First_egg_lay_date]],'19-20_niwa_temp_data'!B:B,'19-20_niwa_temp_data'!G:G, "No Match")</f>
        <v>15.398701243936127</v>
      </c>
      <c r="H488">
        <v>4</v>
      </c>
      <c r="I488" s="11">
        <v>43769</v>
      </c>
      <c r="J488">
        <f>_xlfn.XLOOKUP(Table2[[#This Row],[Nest_box_ID]],Sheet1!A:A,Sheet1!L:L, "No Match")</f>
        <v>0</v>
      </c>
      <c r="K488" s="11">
        <v>43783</v>
      </c>
      <c r="L488">
        <f>_xlfn.XLOOKUP(Table2[[#This Row],[Nest_box_ID]],Sheet1!A:A,Sheet1!K:K, "No Match")</f>
        <v>14</v>
      </c>
      <c r="M488" s="11">
        <v>43776</v>
      </c>
      <c r="N488" s="16">
        <v>0.48833333333333334</v>
      </c>
      <c r="O488">
        <v>7</v>
      </c>
      <c r="P488">
        <v>64</v>
      </c>
      <c r="Q488" t="s">
        <v>319</v>
      </c>
      <c r="R488">
        <v>360</v>
      </c>
      <c r="S488">
        <f>_xlfn.XLOOKUP(Table2[[#This Row],[Obs_date]],'19-20_niwa_temp_data'!B:B,'19-20_niwa_temp_data'!G:G, "N/A")</f>
        <v>17.675972391922318</v>
      </c>
      <c r="T488">
        <f>_xlfn.XLOOKUP(Table2[[#This Row],[First_egg_lay_date]],'19-20_niwa_temp_data'!B:B,'19-20_niwa_temp_data'!G:G, "No Match")</f>
        <v>15.398701243936127</v>
      </c>
    </row>
    <row r="489" spans="1:20" hidden="1" x14ac:dyDescent="0.35">
      <c r="A489" t="s">
        <v>9</v>
      </c>
      <c r="B489" t="s">
        <v>12</v>
      </c>
      <c r="C489" s="3" t="s">
        <v>101</v>
      </c>
      <c r="D489" t="str">
        <f>_xlfn.XLOOKUP(Table2[[#This Row],[Female_ID ]],'19-20_female_cohort'!I:I,'19-20_female_cohort'!H:H, "No Match")</f>
        <v>2015/2016</v>
      </c>
      <c r="E489">
        <v>4</v>
      </c>
      <c r="F489" s="11">
        <v>43766</v>
      </c>
      <c r="G489">
        <f>_xlfn.XLOOKUP(Table2[[#This Row],[First_egg_lay_date]],'19-20_niwa_temp_data'!B:B,'19-20_niwa_temp_data'!G:G, "No Match")</f>
        <v>15.398701243936127</v>
      </c>
      <c r="H489">
        <v>4</v>
      </c>
      <c r="I489" s="11">
        <v>43769</v>
      </c>
      <c r="J489">
        <f>_xlfn.XLOOKUP(Table2[[#This Row],[Nest_box_ID]],Sheet1!A:A,Sheet1!L:L, "No Match")</f>
        <v>0</v>
      </c>
      <c r="K489" s="11">
        <v>43783</v>
      </c>
      <c r="L489">
        <f>_xlfn.XLOOKUP(Table2[[#This Row],[Nest_box_ID]],Sheet1!A:A,Sheet1!K:K, "No Match")</f>
        <v>14</v>
      </c>
      <c r="M489" s="11">
        <v>43776</v>
      </c>
      <c r="N489" s="16">
        <v>0.49249999999999999</v>
      </c>
      <c r="O489">
        <v>7</v>
      </c>
      <c r="P489">
        <v>64</v>
      </c>
      <c r="Q489" t="s">
        <v>320</v>
      </c>
      <c r="R489" t="s">
        <v>254</v>
      </c>
      <c r="S489">
        <f>_xlfn.XLOOKUP(Table2[[#This Row],[Obs_date]],'19-20_niwa_temp_data'!B:B,'19-20_niwa_temp_data'!G:G, "N/A")</f>
        <v>17.675972391922318</v>
      </c>
      <c r="T489">
        <f>_xlfn.XLOOKUP(Table2[[#This Row],[First_egg_lay_date]],'19-20_niwa_temp_data'!B:B,'19-20_niwa_temp_data'!G:G, "No Match")</f>
        <v>15.398701243936127</v>
      </c>
    </row>
    <row r="490" spans="1:20" x14ac:dyDescent="0.35">
      <c r="A490" t="s">
        <v>9</v>
      </c>
      <c r="B490" t="s">
        <v>12</v>
      </c>
      <c r="C490" s="3" t="s">
        <v>101</v>
      </c>
      <c r="D490" t="str">
        <f>_xlfn.XLOOKUP(Table2[[#This Row],[Female_ID ]],'19-20_female_cohort'!I:I,'19-20_female_cohort'!H:H, "No Match")</f>
        <v>2015/2016</v>
      </c>
      <c r="E490">
        <v>4</v>
      </c>
      <c r="F490" s="11">
        <v>43766</v>
      </c>
      <c r="G490">
        <f>_xlfn.XLOOKUP(Table2[[#This Row],[First_egg_lay_date]],'19-20_niwa_temp_data'!B:B,'19-20_niwa_temp_data'!G:G, "No Match")</f>
        <v>15.398701243936127</v>
      </c>
      <c r="H490">
        <v>4</v>
      </c>
      <c r="I490" s="11">
        <v>43769</v>
      </c>
      <c r="J490">
        <f>_xlfn.XLOOKUP(Table2[[#This Row],[Nest_box_ID]],Sheet1!A:A,Sheet1!L:L, "No Match")</f>
        <v>0</v>
      </c>
      <c r="K490" s="11">
        <v>43783</v>
      </c>
      <c r="L490">
        <f>_xlfn.XLOOKUP(Table2[[#This Row],[Nest_box_ID]],Sheet1!A:A,Sheet1!K:K, "No Match")</f>
        <v>14</v>
      </c>
      <c r="M490" s="11">
        <v>43782</v>
      </c>
      <c r="N490" s="16">
        <v>0.44444444444444442</v>
      </c>
      <c r="O490">
        <v>13</v>
      </c>
      <c r="P490">
        <v>59.916666669999998</v>
      </c>
      <c r="Q490" t="s">
        <v>319</v>
      </c>
      <c r="R490">
        <v>420</v>
      </c>
      <c r="S490">
        <f>_xlfn.XLOOKUP(Table2[[#This Row],[Obs_date]],'19-20_niwa_temp_data'!B:B,'19-20_niwa_temp_data'!G:G, "N/A")</f>
        <v>11.944873377311289</v>
      </c>
      <c r="T490">
        <f>_xlfn.XLOOKUP(Table2[[#This Row],[First_egg_lay_date]],'19-20_niwa_temp_data'!B:B,'19-20_niwa_temp_data'!G:G, "No Match")</f>
        <v>15.398701243936127</v>
      </c>
    </row>
    <row r="491" spans="1:20" hidden="1" x14ac:dyDescent="0.35">
      <c r="A491" t="s">
        <v>9</v>
      </c>
      <c r="B491" t="s">
        <v>12</v>
      </c>
      <c r="C491" s="3" t="s">
        <v>101</v>
      </c>
      <c r="D491" t="str">
        <f>_xlfn.XLOOKUP(Table2[[#This Row],[Female_ID ]],'19-20_female_cohort'!I:I,'19-20_female_cohort'!H:H, "No Match")</f>
        <v>2015/2016</v>
      </c>
      <c r="E491">
        <v>4</v>
      </c>
      <c r="F491" s="11">
        <v>43766</v>
      </c>
      <c r="G491">
        <f>_xlfn.XLOOKUP(Table2[[#This Row],[First_egg_lay_date]],'19-20_niwa_temp_data'!B:B,'19-20_niwa_temp_data'!G:G, "No Match")</f>
        <v>15.398701243936127</v>
      </c>
      <c r="H491">
        <v>4</v>
      </c>
      <c r="I491" s="11">
        <v>43769</v>
      </c>
      <c r="J491">
        <f>_xlfn.XLOOKUP(Table2[[#This Row],[Nest_box_ID]],Sheet1!A:A,Sheet1!L:L, "No Match")</f>
        <v>0</v>
      </c>
      <c r="K491" s="11">
        <v>43783</v>
      </c>
      <c r="L491">
        <f>_xlfn.XLOOKUP(Table2[[#This Row],[Nest_box_ID]],Sheet1!A:A,Sheet1!K:K, "No Match")</f>
        <v>14</v>
      </c>
      <c r="M491" s="11">
        <v>43782</v>
      </c>
      <c r="N491" s="16">
        <v>0.44930555555555557</v>
      </c>
      <c r="O491">
        <v>13</v>
      </c>
      <c r="P491">
        <v>59.916666669999998</v>
      </c>
      <c r="Q491" t="s">
        <v>320</v>
      </c>
      <c r="R491">
        <v>2602</v>
      </c>
      <c r="S491">
        <f>_xlfn.XLOOKUP(Table2[[#This Row],[Obs_date]],'19-20_niwa_temp_data'!B:B,'19-20_niwa_temp_data'!G:G, "N/A")</f>
        <v>11.944873377311289</v>
      </c>
      <c r="T491">
        <f>_xlfn.XLOOKUP(Table2[[#This Row],[First_egg_lay_date]],'19-20_niwa_temp_data'!B:B,'19-20_niwa_temp_data'!G:G, "No Match")</f>
        <v>15.398701243936127</v>
      </c>
    </row>
    <row r="492" spans="1:20" x14ac:dyDescent="0.35">
      <c r="A492" t="s">
        <v>9</v>
      </c>
      <c r="B492" t="s">
        <v>12</v>
      </c>
      <c r="C492" s="3" t="s">
        <v>101</v>
      </c>
      <c r="D492" t="str">
        <f>_xlfn.XLOOKUP(Table2[[#This Row],[Female_ID ]],'19-20_female_cohort'!I:I,'19-20_female_cohort'!H:H, "No Match")</f>
        <v>2015/2016</v>
      </c>
      <c r="E492">
        <v>4</v>
      </c>
      <c r="F492" s="11">
        <v>43766</v>
      </c>
      <c r="G492">
        <f>_xlfn.XLOOKUP(Table2[[#This Row],[First_egg_lay_date]],'19-20_niwa_temp_data'!B:B,'19-20_niwa_temp_data'!G:G, "No Match")</f>
        <v>15.398701243936127</v>
      </c>
      <c r="H492">
        <v>4</v>
      </c>
      <c r="I492" s="11">
        <v>43769</v>
      </c>
      <c r="J492">
        <f>_xlfn.XLOOKUP(Table2[[#This Row],[Nest_box_ID]],Sheet1!A:A,Sheet1!L:L, "No Match")</f>
        <v>0</v>
      </c>
      <c r="K492" s="11">
        <v>43783</v>
      </c>
      <c r="L492">
        <f>_xlfn.XLOOKUP(Table2[[#This Row],[Nest_box_ID]],Sheet1!A:A,Sheet1!K:K, "No Match")</f>
        <v>14</v>
      </c>
      <c r="M492" s="11">
        <v>43782</v>
      </c>
      <c r="N492" s="16">
        <v>0.47942129629629632</v>
      </c>
      <c r="O492">
        <v>13</v>
      </c>
      <c r="P492">
        <v>59.916666669999998</v>
      </c>
      <c r="Q492" t="s">
        <v>319</v>
      </c>
      <c r="R492">
        <v>393</v>
      </c>
      <c r="S492">
        <f>_xlfn.XLOOKUP(Table2[[#This Row],[Obs_date]],'19-20_niwa_temp_data'!B:B,'19-20_niwa_temp_data'!G:G, "N/A")</f>
        <v>11.944873377311289</v>
      </c>
      <c r="T492">
        <f>_xlfn.XLOOKUP(Table2[[#This Row],[First_egg_lay_date]],'19-20_niwa_temp_data'!B:B,'19-20_niwa_temp_data'!G:G, "No Match")</f>
        <v>15.398701243936127</v>
      </c>
    </row>
    <row r="493" spans="1:20" hidden="1" x14ac:dyDescent="0.35">
      <c r="A493" t="s">
        <v>9</v>
      </c>
      <c r="B493" t="s">
        <v>12</v>
      </c>
      <c r="C493" s="3" t="s">
        <v>101</v>
      </c>
      <c r="D493" t="str">
        <f>_xlfn.XLOOKUP(Table2[[#This Row],[Female_ID ]],'19-20_female_cohort'!I:I,'19-20_female_cohort'!H:H, "No Match")</f>
        <v>2015/2016</v>
      </c>
      <c r="E493">
        <v>4</v>
      </c>
      <c r="F493" s="11">
        <v>43766</v>
      </c>
      <c r="G493">
        <f>_xlfn.XLOOKUP(Table2[[#This Row],[First_egg_lay_date]],'19-20_niwa_temp_data'!B:B,'19-20_niwa_temp_data'!G:G, "No Match")</f>
        <v>15.398701243936127</v>
      </c>
      <c r="H493">
        <v>4</v>
      </c>
      <c r="I493" s="11">
        <v>43769</v>
      </c>
      <c r="J493">
        <f>_xlfn.XLOOKUP(Table2[[#This Row],[Nest_box_ID]],Sheet1!A:A,Sheet1!L:L, "No Match")</f>
        <v>0</v>
      </c>
      <c r="K493" s="11">
        <v>43783</v>
      </c>
      <c r="L493">
        <f>_xlfn.XLOOKUP(Table2[[#This Row],[Nest_box_ID]],Sheet1!A:A,Sheet1!K:K, "No Match")</f>
        <v>14</v>
      </c>
      <c r="M493" s="11">
        <v>43782</v>
      </c>
      <c r="N493" s="16">
        <v>0.48396990740740742</v>
      </c>
      <c r="O493">
        <v>13</v>
      </c>
      <c r="P493">
        <v>59.916666669999998</v>
      </c>
      <c r="Q493" t="s">
        <v>320</v>
      </c>
      <c r="R493" t="s">
        <v>254</v>
      </c>
      <c r="S493">
        <f>_xlfn.XLOOKUP(Table2[[#This Row],[Obs_date]],'19-20_niwa_temp_data'!B:B,'19-20_niwa_temp_data'!G:G, "N/A")</f>
        <v>11.944873377311289</v>
      </c>
      <c r="T493">
        <f>_xlfn.XLOOKUP(Table2[[#This Row],[First_egg_lay_date]],'19-20_niwa_temp_data'!B:B,'19-20_niwa_temp_data'!G:G, "No Match")</f>
        <v>15.398701243936127</v>
      </c>
    </row>
    <row r="494" spans="1:20" hidden="1" x14ac:dyDescent="0.35">
      <c r="A494" t="s">
        <v>9</v>
      </c>
      <c r="B494" t="s">
        <v>67</v>
      </c>
      <c r="C494" s="3" t="s">
        <v>156</v>
      </c>
      <c r="D494" t="str">
        <f>_xlfn.XLOOKUP(Table2[[#This Row],[Female_ID ]],'19-20_female_cohort'!I:I,'19-20_female_cohort'!H:H, "No Match")</f>
        <v>2017/2018</v>
      </c>
      <c r="E494">
        <v>2</v>
      </c>
      <c r="F494" s="11">
        <v>43801</v>
      </c>
      <c r="G494">
        <f>_xlfn.XLOOKUP(Table2[[#This Row],[First_egg_lay_date]],'19-20_niwa_temp_data'!B:B,'19-20_niwa_temp_data'!G:G, "No Match")</f>
        <v>18.228549037155975</v>
      </c>
      <c r="H494">
        <v>4</v>
      </c>
      <c r="I494" s="11">
        <v>43804</v>
      </c>
      <c r="J494">
        <f>_xlfn.XLOOKUP(Table2[[#This Row],[Nest_box_ID]],Sheet1!A:A,Sheet1!L:L, "No Match")</f>
        <v>0</v>
      </c>
      <c r="K494" s="11">
        <v>43818</v>
      </c>
      <c r="L494">
        <f>_xlfn.XLOOKUP(Table2[[#This Row],[Nest_box_ID]],Sheet1!A:A,Sheet1!K:K, "No Match")</f>
        <v>14</v>
      </c>
      <c r="M494" s="11">
        <v>43805</v>
      </c>
      <c r="N494" s="16">
        <v>0.71472222222222226</v>
      </c>
      <c r="O494">
        <v>1</v>
      </c>
      <c r="P494">
        <v>9.1333333329999995</v>
      </c>
      <c r="Q494" t="s">
        <v>320</v>
      </c>
      <c r="R494">
        <v>157</v>
      </c>
      <c r="S494">
        <f>_xlfn.XLOOKUP(Table2[[#This Row],[Obs_date]],'19-20_niwa_temp_data'!B:B,'19-20_niwa_temp_data'!G:G, "N/A")</f>
        <v>17.764852940567788</v>
      </c>
      <c r="T494">
        <f>_xlfn.XLOOKUP(Table2[[#This Row],[First_egg_lay_date]],'19-20_niwa_temp_data'!B:B,'19-20_niwa_temp_data'!G:G, "No Match")</f>
        <v>18.228549037155975</v>
      </c>
    </row>
    <row r="495" spans="1:20" x14ac:dyDescent="0.35">
      <c r="A495" t="s">
        <v>9</v>
      </c>
      <c r="B495" t="s">
        <v>67</v>
      </c>
      <c r="C495" s="3" t="s">
        <v>156</v>
      </c>
      <c r="D495" t="str">
        <f>_xlfn.XLOOKUP(Table2[[#This Row],[Female_ID ]],'19-20_female_cohort'!I:I,'19-20_female_cohort'!H:H, "No Match")</f>
        <v>2017/2018</v>
      </c>
      <c r="E495">
        <v>2</v>
      </c>
      <c r="F495" s="11">
        <v>43801</v>
      </c>
      <c r="G495">
        <f>_xlfn.XLOOKUP(Table2[[#This Row],[First_egg_lay_date]],'19-20_niwa_temp_data'!B:B,'19-20_niwa_temp_data'!G:G, "No Match")</f>
        <v>18.228549037155975</v>
      </c>
      <c r="H495">
        <v>4</v>
      </c>
      <c r="I495" s="11">
        <v>43804</v>
      </c>
      <c r="J495">
        <f>_xlfn.XLOOKUP(Table2[[#This Row],[Nest_box_ID]],Sheet1!A:A,Sheet1!L:L, "No Match")</f>
        <v>0</v>
      </c>
      <c r="K495" s="11">
        <v>43818</v>
      </c>
      <c r="L495">
        <f>_xlfn.XLOOKUP(Table2[[#This Row],[Nest_box_ID]],Sheet1!A:A,Sheet1!K:K, "No Match")</f>
        <v>14</v>
      </c>
      <c r="M495" s="11">
        <v>43805</v>
      </c>
      <c r="N495" s="16">
        <v>0.7165393518518518</v>
      </c>
      <c r="O495">
        <v>1</v>
      </c>
      <c r="P495">
        <v>9.1333333329999995</v>
      </c>
      <c r="Q495" t="s">
        <v>319</v>
      </c>
      <c r="R495">
        <v>319</v>
      </c>
      <c r="S495">
        <f>_xlfn.XLOOKUP(Table2[[#This Row],[Obs_date]],'19-20_niwa_temp_data'!B:B,'19-20_niwa_temp_data'!G:G, "N/A")</f>
        <v>17.764852940567788</v>
      </c>
      <c r="T495">
        <f>_xlfn.XLOOKUP(Table2[[#This Row],[First_egg_lay_date]],'19-20_niwa_temp_data'!B:B,'19-20_niwa_temp_data'!G:G, "No Match")</f>
        <v>18.228549037155975</v>
      </c>
    </row>
    <row r="496" spans="1:20" hidden="1" x14ac:dyDescent="0.35">
      <c r="A496" t="s">
        <v>9</v>
      </c>
      <c r="B496" t="s">
        <v>67</v>
      </c>
      <c r="C496" s="3" t="s">
        <v>156</v>
      </c>
      <c r="D496" t="str">
        <f>_xlfn.XLOOKUP(Table2[[#This Row],[Female_ID ]],'19-20_female_cohort'!I:I,'19-20_female_cohort'!H:H, "No Match")</f>
        <v>2017/2018</v>
      </c>
      <c r="E496">
        <v>2</v>
      </c>
      <c r="F496" s="11">
        <v>43801</v>
      </c>
      <c r="G496">
        <f>_xlfn.XLOOKUP(Table2[[#This Row],[First_egg_lay_date]],'19-20_niwa_temp_data'!B:B,'19-20_niwa_temp_data'!G:G, "No Match")</f>
        <v>18.228549037155975</v>
      </c>
      <c r="H496">
        <v>4</v>
      </c>
      <c r="I496" s="11">
        <v>43804</v>
      </c>
      <c r="J496">
        <f>_xlfn.XLOOKUP(Table2[[#This Row],[Nest_box_ID]],Sheet1!A:A,Sheet1!L:L, "No Match")</f>
        <v>0</v>
      </c>
      <c r="K496" s="11">
        <v>43818</v>
      </c>
      <c r="L496">
        <f>_xlfn.XLOOKUP(Table2[[#This Row],[Nest_box_ID]],Sheet1!A:A,Sheet1!K:K, "No Match")</f>
        <v>14</v>
      </c>
      <c r="M496" s="11">
        <v>43805</v>
      </c>
      <c r="N496" s="16">
        <v>0.72023148148148153</v>
      </c>
      <c r="O496">
        <v>1</v>
      </c>
      <c r="P496">
        <v>9.1333333329999995</v>
      </c>
      <c r="Q496" t="s">
        <v>320</v>
      </c>
      <c r="R496" t="s">
        <v>254</v>
      </c>
      <c r="S496">
        <f>_xlfn.XLOOKUP(Table2[[#This Row],[Obs_date]],'19-20_niwa_temp_data'!B:B,'19-20_niwa_temp_data'!G:G, "N/A")</f>
        <v>17.764852940567788</v>
      </c>
      <c r="T496">
        <f>_xlfn.XLOOKUP(Table2[[#This Row],[First_egg_lay_date]],'19-20_niwa_temp_data'!B:B,'19-20_niwa_temp_data'!G:G, "No Match")</f>
        <v>18.228549037155975</v>
      </c>
    </row>
    <row r="497" spans="1:20" x14ac:dyDescent="0.35">
      <c r="A497" t="s">
        <v>9</v>
      </c>
      <c r="B497" t="s">
        <v>11</v>
      </c>
      <c r="C497" s="3" t="s">
        <v>100</v>
      </c>
      <c r="D497" t="str">
        <f>_xlfn.XLOOKUP(Table2[[#This Row],[Female_ID ]],'19-20_female_cohort'!I:I,'19-20_female_cohort'!H:H, "No Match")</f>
        <v>2015/2016</v>
      </c>
      <c r="E497">
        <v>4</v>
      </c>
      <c r="F497" s="11">
        <v>43765</v>
      </c>
      <c r="G497">
        <f>_xlfn.XLOOKUP(Table2[[#This Row],[First_egg_lay_date]],'19-20_niwa_temp_data'!B:B,'19-20_niwa_temp_data'!G:G, "No Match")</f>
        <v>13.692333621410194</v>
      </c>
      <c r="H497">
        <v>4</v>
      </c>
      <c r="I497" s="11">
        <v>43768</v>
      </c>
      <c r="J497">
        <f>_xlfn.XLOOKUP(Table2[[#This Row],[Nest_box_ID]],Sheet1!A:A,Sheet1!L:L, "No Match")</f>
        <v>0</v>
      </c>
      <c r="K497" s="11">
        <v>43783</v>
      </c>
      <c r="L497">
        <f>_xlfn.XLOOKUP(Table2[[#This Row],[Nest_box_ID]],Sheet1!A:A,Sheet1!K:K, "No Match")</f>
        <v>15</v>
      </c>
      <c r="M497" s="11">
        <v>43771</v>
      </c>
      <c r="N497" s="16">
        <v>0.52361111111111114</v>
      </c>
      <c r="O497">
        <v>3</v>
      </c>
      <c r="P497">
        <v>78</v>
      </c>
      <c r="Q497" t="s">
        <v>319</v>
      </c>
      <c r="R497">
        <v>240</v>
      </c>
      <c r="S497">
        <f>_xlfn.XLOOKUP(Table2[[#This Row],[Obs_date]],'19-20_niwa_temp_data'!B:B,'19-20_niwa_temp_data'!G:G, "N/A")</f>
        <v>13.655768012089251</v>
      </c>
      <c r="T497">
        <f>_xlfn.XLOOKUP(Table2[[#This Row],[First_egg_lay_date]],'19-20_niwa_temp_data'!B:B,'19-20_niwa_temp_data'!G:G, "No Match")</f>
        <v>13.692333621410194</v>
      </c>
    </row>
    <row r="498" spans="1:20" hidden="1" x14ac:dyDescent="0.35">
      <c r="A498" t="s">
        <v>9</v>
      </c>
      <c r="B498" t="s">
        <v>11</v>
      </c>
      <c r="C498" s="3" t="s">
        <v>100</v>
      </c>
      <c r="D498" t="str">
        <f>_xlfn.XLOOKUP(Table2[[#This Row],[Female_ID ]],'19-20_female_cohort'!I:I,'19-20_female_cohort'!H:H, "No Match")</f>
        <v>2015/2016</v>
      </c>
      <c r="E498">
        <v>4</v>
      </c>
      <c r="F498" s="11">
        <v>43765</v>
      </c>
      <c r="G498">
        <f>_xlfn.XLOOKUP(Table2[[#This Row],[First_egg_lay_date]],'19-20_niwa_temp_data'!B:B,'19-20_niwa_temp_data'!G:G, "No Match")</f>
        <v>13.692333621410194</v>
      </c>
      <c r="H498">
        <v>4</v>
      </c>
      <c r="I498" s="11">
        <v>43768</v>
      </c>
      <c r="J498">
        <f>_xlfn.XLOOKUP(Table2[[#This Row],[Nest_box_ID]],Sheet1!A:A,Sheet1!L:L, "No Match")</f>
        <v>0</v>
      </c>
      <c r="K498" s="11">
        <v>43783</v>
      </c>
      <c r="L498">
        <f>_xlfn.XLOOKUP(Table2[[#This Row],[Nest_box_ID]],Sheet1!A:A,Sheet1!K:K, "No Match")</f>
        <v>15</v>
      </c>
      <c r="M498" s="11">
        <v>43771</v>
      </c>
      <c r="N498" s="16">
        <v>0.52638888888888891</v>
      </c>
      <c r="O498">
        <v>3</v>
      </c>
      <c r="P498">
        <v>78</v>
      </c>
      <c r="Q498" t="s">
        <v>320</v>
      </c>
      <c r="R498">
        <v>1980</v>
      </c>
      <c r="S498">
        <f>_xlfn.XLOOKUP(Table2[[#This Row],[Obs_date]],'19-20_niwa_temp_data'!B:B,'19-20_niwa_temp_data'!G:G, "N/A")</f>
        <v>13.655768012089251</v>
      </c>
      <c r="T498">
        <f>_xlfn.XLOOKUP(Table2[[#This Row],[First_egg_lay_date]],'19-20_niwa_temp_data'!B:B,'19-20_niwa_temp_data'!G:G, "No Match")</f>
        <v>13.692333621410194</v>
      </c>
    </row>
    <row r="499" spans="1:20" x14ac:dyDescent="0.35">
      <c r="A499" t="s">
        <v>9</v>
      </c>
      <c r="B499" t="s">
        <v>11</v>
      </c>
      <c r="C499" s="3" t="s">
        <v>100</v>
      </c>
      <c r="D499" t="str">
        <f>_xlfn.XLOOKUP(Table2[[#This Row],[Female_ID ]],'19-20_female_cohort'!I:I,'19-20_female_cohort'!H:H, "No Match")</f>
        <v>2015/2016</v>
      </c>
      <c r="E499">
        <v>4</v>
      </c>
      <c r="F499" s="11">
        <v>43765</v>
      </c>
      <c r="G499">
        <f>_xlfn.XLOOKUP(Table2[[#This Row],[First_egg_lay_date]],'19-20_niwa_temp_data'!B:B,'19-20_niwa_temp_data'!G:G, "No Match")</f>
        <v>13.692333621410194</v>
      </c>
      <c r="H499">
        <v>4</v>
      </c>
      <c r="I499" s="11">
        <v>43768</v>
      </c>
      <c r="J499">
        <f>_xlfn.XLOOKUP(Table2[[#This Row],[Nest_box_ID]],Sheet1!A:A,Sheet1!L:L, "No Match")</f>
        <v>0</v>
      </c>
      <c r="K499" s="11">
        <v>43783</v>
      </c>
      <c r="L499">
        <f>_xlfn.XLOOKUP(Table2[[#This Row],[Nest_box_ID]],Sheet1!A:A,Sheet1!K:K, "No Match")</f>
        <v>15</v>
      </c>
      <c r="M499" s="11">
        <v>43771</v>
      </c>
      <c r="N499" s="16">
        <v>0.5493055555555556</v>
      </c>
      <c r="O499">
        <v>3</v>
      </c>
      <c r="P499">
        <v>78</v>
      </c>
      <c r="Q499" t="s">
        <v>319</v>
      </c>
      <c r="R499">
        <v>300</v>
      </c>
      <c r="S499">
        <f>_xlfn.XLOOKUP(Table2[[#This Row],[Obs_date]],'19-20_niwa_temp_data'!B:B,'19-20_niwa_temp_data'!G:G, "N/A")</f>
        <v>13.655768012089251</v>
      </c>
      <c r="T499">
        <f>_xlfn.XLOOKUP(Table2[[#This Row],[First_egg_lay_date]],'19-20_niwa_temp_data'!B:B,'19-20_niwa_temp_data'!G:G, "No Match")</f>
        <v>13.692333621410194</v>
      </c>
    </row>
    <row r="500" spans="1:20" hidden="1" x14ac:dyDescent="0.35">
      <c r="A500" t="s">
        <v>9</v>
      </c>
      <c r="B500" t="s">
        <v>11</v>
      </c>
      <c r="C500" s="3" t="s">
        <v>100</v>
      </c>
      <c r="D500" t="str">
        <f>_xlfn.XLOOKUP(Table2[[#This Row],[Female_ID ]],'19-20_female_cohort'!I:I,'19-20_female_cohort'!H:H, "No Match")</f>
        <v>2015/2016</v>
      </c>
      <c r="E500">
        <v>4</v>
      </c>
      <c r="F500" s="11">
        <v>43765</v>
      </c>
      <c r="G500">
        <f>_xlfn.XLOOKUP(Table2[[#This Row],[First_egg_lay_date]],'19-20_niwa_temp_data'!B:B,'19-20_niwa_temp_data'!G:G, "No Match")</f>
        <v>13.692333621410194</v>
      </c>
      <c r="H500">
        <v>4</v>
      </c>
      <c r="I500" s="11">
        <v>43768</v>
      </c>
      <c r="J500">
        <f>_xlfn.XLOOKUP(Table2[[#This Row],[Nest_box_ID]],Sheet1!A:A,Sheet1!L:L, "No Match")</f>
        <v>0</v>
      </c>
      <c r="K500" s="11">
        <v>43783</v>
      </c>
      <c r="L500">
        <f>_xlfn.XLOOKUP(Table2[[#This Row],[Nest_box_ID]],Sheet1!A:A,Sheet1!K:K, "No Match")</f>
        <v>15</v>
      </c>
      <c r="M500" s="11">
        <v>43771</v>
      </c>
      <c r="N500" s="16">
        <v>0.55277777777777781</v>
      </c>
      <c r="O500">
        <v>3</v>
      </c>
      <c r="P500">
        <v>78</v>
      </c>
      <c r="Q500" t="s">
        <v>320</v>
      </c>
      <c r="R500">
        <v>1860</v>
      </c>
      <c r="S500">
        <f>_xlfn.XLOOKUP(Table2[[#This Row],[Obs_date]],'19-20_niwa_temp_data'!B:B,'19-20_niwa_temp_data'!G:G, "N/A")</f>
        <v>13.655768012089251</v>
      </c>
      <c r="T500">
        <f>_xlfn.XLOOKUP(Table2[[#This Row],[First_egg_lay_date]],'19-20_niwa_temp_data'!B:B,'19-20_niwa_temp_data'!G:G, "No Match")</f>
        <v>13.692333621410194</v>
      </c>
    </row>
    <row r="501" spans="1:20" x14ac:dyDescent="0.35">
      <c r="A501" t="s">
        <v>9</v>
      </c>
      <c r="B501" t="s">
        <v>11</v>
      </c>
      <c r="C501" s="3" t="s">
        <v>100</v>
      </c>
      <c r="D501" t="str">
        <f>_xlfn.XLOOKUP(Table2[[#This Row],[Female_ID ]],'19-20_female_cohort'!I:I,'19-20_female_cohort'!H:H, "No Match")</f>
        <v>2015/2016</v>
      </c>
      <c r="E501">
        <v>4</v>
      </c>
      <c r="F501" s="11">
        <v>43765</v>
      </c>
      <c r="G501">
        <f>_xlfn.XLOOKUP(Table2[[#This Row],[First_egg_lay_date]],'19-20_niwa_temp_data'!B:B,'19-20_niwa_temp_data'!G:G, "No Match")</f>
        <v>13.692333621410194</v>
      </c>
      <c r="H501">
        <v>4</v>
      </c>
      <c r="I501" s="11">
        <v>43768</v>
      </c>
      <c r="J501">
        <f>_xlfn.XLOOKUP(Table2[[#This Row],[Nest_box_ID]],Sheet1!A:A,Sheet1!L:L, "No Match")</f>
        <v>0</v>
      </c>
      <c r="K501" s="11">
        <v>43783</v>
      </c>
      <c r="L501">
        <f>_xlfn.XLOOKUP(Table2[[#This Row],[Nest_box_ID]],Sheet1!A:A,Sheet1!K:K, "No Match")</f>
        <v>15</v>
      </c>
      <c r="M501" s="11">
        <v>43771</v>
      </c>
      <c r="N501" s="16">
        <v>0.57430555555555551</v>
      </c>
      <c r="O501">
        <v>3</v>
      </c>
      <c r="P501">
        <v>78</v>
      </c>
      <c r="Q501" t="s">
        <v>319</v>
      </c>
      <c r="R501">
        <v>300</v>
      </c>
      <c r="S501">
        <f>_xlfn.XLOOKUP(Table2[[#This Row],[Obs_date]],'19-20_niwa_temp_data'!B:B,'19-20_niwa_temp_data'!G:G, "N/A")</f>
        <v>13.655768012089251</v>
      </c>
      <c r="T501">
        <f>_xlfn.XLOOKUP(Table2[[#This Row],[First_egg_lay_date]],'19-20_niwa_temp_data'!B:B,'19-20_niwa_temp_data'!G:G, "No Match")</f>
        <v>13.692333621410194</v>
      </c>
    </row>
    <row r="502" spans="1:20" hidden="1" x14ac:dyDescent="0.35">
      <c r="A502" t="s">
        <v>9</v>
      </c>
      <c r="B502" t="s">
        <v>11</v>
      </c>
      <c r="C502" s="3" t="s">
        <v>100</v>
      </c>
      <c r="D502" t="str">
        <f>_xlfn.XLOOKUP(Table2[[#This Row],[Female_ID ]],'19-20_female_cohort'!I:I,'19-20_female_cohort'!H:H, "No Match")</f>
        <v>2015/2016</v>
      </c>
      <c r="E502">
        <v>4</v>
      </c>
      <c r="F502" s="11">
        <v>43765</v>
      </c>
      <c r="G502">
        <f>_xlfn.XLOOKUP(Table2[[#This Row],[First_egg_lay_date]],'19-20_niwa_temp_data'!B:B,'19-20_niwa_temp_data'!G:G, "No Match")</f>
        <v>13.692333621410194</v>
      </c>
      <c r="H502">
        <v>4</v>
      </c>
      <c r="I502" s="11">
        <v>43768</v>
      </c>
      <c r="J502">
        <f>_xlfn.XLOOKUP(Table2[[#This Row],[Nest_box_ID]],Sheet1!A:A,Sheet1!L:L, "No Match")</f>
        <v>0</v>
      </c>
      <c r="K502" s="11">
        <v>43783</v>
      </c>
      <c r="L502">
        <f>_xlfn.XLOOKUP(Table2[[#This Row],[Nest_box_ID]],Sheet1!A:A,Sheet1!K:K, "No Match")</f>
        <v>15</v>
      </c>
      <c r="M502" s="11">
        <v>43771</v>
      </c>
      <c r="N502" s="16">
        <v>0.57777777777777772</v>
      </c>
      <c r="O502">
        <v>3</v>
      </c>
      <c r="P502">
        <v>78</v>
      </c>
      <c r="Q502" t="s">
        <v>320</v>
      </c>
      <c r="R502" t="s">
        <v>254</v>
      </c>
      <c r="S502">
        <f>_xlfn.XLOOKUP(Table2[[#This Row],[Obs_date]],'19-20_niwa_temp_data'!B:B,'19-20_niwa_temp_data'!G:G, "N/A")</f>
        <v>13.655768012089251</v>
      </c>
      <c r="T502">
        <f>_xlfn.XLOOKUP(Table2[[#This Row],[First_egg_lay_date]],'19-20_niwa_temp_data'!B:B,'19-20_niwa_temp_data'!G:G, "No Match")</f>
        <v>13.692333621410194</v>
      </c>
    </row>
    <row r="503" spans="1:20" x14ac:dyDescent="0.35">
      <c r="A503" t="s">
        <v>9</v>
      </c>
      <c r="B503" t="s">
        <v>11</v>
      </c>
      <c r="C503" s="3" t="s">
        <v>100</v>
      </c>
      <c r="D503" t="str">
        <f>_xlfn.XLOOKUP(Table2[[#This Row],[Female_ID ]],'19-20_female_cohort'!I:I,'19-20_female_cohort'!H:H, "No Match")</f>
        <v>2015/2016</v>
      </c>
      <c r="E503">
        <v>4</v>
      </c>
      <c r="F503" s="11">
        <v>43765</v>
      </c>
      <c r="G503">
        <f>_xlfn.XLOOKUP(Table2[[#This Row],[First_egg_lay_date]],'19-20_niwa_temp_data'!B:B,'19-20_niwa_temp_data'!G:G, "No Match")</f>
        <v>13.692333621410194</v>
      </c>
      <c r="H503">
        <v>4</v>
      </c>
      <c r="I503" s="11">
        <v>43768</v>
      </c>
      <c r="J503">
        <f>_xlfn.XLOOKUP(Table2[[#This Row],[Nest_box_ID]],Sheet1!A:A,Sheet1!L:L, "No Match")</f>
        <v>0</v>
      </c>
      <c r="K503" s="11">
        <v>43783</v>
      </c>
      <c r="L503">
        <f>_xlfn.XLOOKUP(Table2[[#This Row],[Nest_box_ID]],Sheet1!A:A,Sheet1!K:K, "No Match")</f>
        <v>15</v>
      </c>
      <c r="M503" s="11">
        <v>43775</v>
      </c>
      <c r="N503" s="16">
        <v>0.55115740740740737</v>
      </c>
      <c r="O503">
        <v>8</v>
      </c>
      <c r="P503">
        <v>61</v>
      </c>
      <c r="Q503" t="s">
        <v>319</v>
      </c>
      <c r="R503">
        <v>398</v>
      </c>
      <c r="S503">
        <f>_xlfn.XLOOKUP(Table2[[#This Row],[Obs_date]],'19-20_niwa_temp_data'!B:B,'19-20_niwa_temp_data'!G:G, "N/A")</f>
        <v>16.742759629165079</v>
      </c>
      <c r="T503">
        <f>_xlfn.XLOOKUP(Table2[[#This Row],[First_egg_lay_date]],'19-20_niwa_temp_data'!B:B,'19-20_niwa_temp_data'!G:G, "No Match")</f>
        <v>13.692333621410194</v>
      </c>
    </row>
    <row r="504" spans="1:20" hidden="1" x14ac:dyDescent="0.35">
      <c r="A504" t="s">
        <v>9</v>
      </c>
      <c r="B504" t="s">
        <v>11</v>
      </c>
      <c r="C504" s="3" t="s">
        <v>100</v>
      </c>
      <c r="D504" t="str">
        <f>_xlfn.XLOOKUP(Table2[[#This Row],[Female_ID ]],'19-20_female_cohort'!I:I,'19-20_female_cohort'!H:H, "No Match")</f>
        <v>2015/2016</v>
      </c>
      <c r="E504">
        <v>4</v>
      </c>
      <c r="F504" s="11">
        <v>43765</v>
      </c>
      <c r="G504">
        <f>_xlfn.XLOOKUP(Table2[[#This Row],[First_egg_lay_date]],'19-20_niwa_temp_data'!B:B,'19-20_niwa_temp_data'!G:G, "No Match")</f>
        <v>13.692333621410194</v>
      </c>
      <c r="H504">
        <v>4</v>
      </c>
      <c r="I504" s="11">
        <v>43768</v>
      </c>
      <c r="J504">
        <f>_xlfn.XLOOKUP(Table2[[#This Row],[Nest_box_ID]],Sheet1!A:A,Sheet1!L:L, "No Match")</f>
        <v>0</v>
      </c>
      <c r="K504" s="11">
        <v>43783</v>
      </c>
      <c r="L504">
        <f>_xlfn.XLOOKUP(Table2[[#This Row],[Nest_box_ID]],Sheet1!A:A,Sheet1!K:K, "No Match")</f>
        <v>15</v>
      </c>
      <c r="M504" s="11">
        <v>43775</v>
      </c>
      <c r="N504" s="16">
        <v>0.55576388888888884</v>
      </c>
      <c r="O504">
        <v>8</v>
      </c>
      <c r="P504">
        <v>61</v>
      </c>
      <c r="Q504" t="s">
        <v>320</v>
      </c>
      <c r="R504">
        <v>372</v>
      </c>
      <c r="S504">
        <f>_xlfn.XLOOKUP(Table2[[#This Row],[Obs_date]],'19-20_niwa_temp_data'!B:B,'19-20_niwa_temp_data'!G:G, "N/A")</f>
        <v>16.742759629165079</v>
      </c>
      <c r="T504">
        <f>_xlfn.XLOOKUP(Table2[[#This Row],[First_egg_lay_date]],'19-20_niwa_temp_data'!B:B,'19-20_niwa_temp_data'!G:G, "No Match")</f>
        <v>13.692333621410194</v>
      </c>
    </row>
    <row r="505" spans="1:20" x14ac:dyDescent="0.35">
      <c r="A505" t="s">
        <v>9</v>
      </c>
      <c r="B505" t="s">
        <v>11</v>
      </c>
      <c r="C505" s="3" t="s">
        <v>100</v>
      </c>
      <c r="D505" t="str">
        <f>_xlfn.XLOOKUP(Table2[[#This Row],[Female_ID ]],'19-20_female_cohort'!I:I,'19-20_female_cohort'!H:H, "No Match")</f>
        <v>2015/2016</v>
      </c>
      <c r="E505">
        <v>4</v>
      </c>
      <c r="F505" s="11">
        <v>43765</v>
      </c>
      <c r="G505">
        <f>_xlfn.XLOOKUP(Table2[[#This Row],[First_egg_lay_date]],'19-20_niwa_temp_data'!B:B,'19-20_niwa_temp_data'!G:G, "No Match")</f>
        <v>13.692333621410194</v>
      </c>
      <c r="H505">
        <v>4</v>
      </c>
      <c r="I505" s="11">
        <v>43768</v>
      </c>
      <c r="J505">
        <f>_xlfn.XLOOKUP(Table2[[#This Row],[Nest_box_ID]],Sheet1!A:A,Sheet1!L:L, "No Match")</f>
        <v>0</v>
      </c>
      <c r="K505" s="11">
        <v>43783</v>
      </c>
      <c r="L505">
        <f>_xlfn.XLOOKUP(Table2[[#This Row],[Nest_box_ID]],Sheet1!A:A,Sheet1!K:K, "No Match")</f>
        <v>15</v>
      </c>
      <c r="M505" s="11">
        <v>43775</v>
      </c>
      <c r="N505" s="16">
        <v>0.5600694444444444</v>
      </c>
      <c r="O505">
        <v>8</v>
      </c>
      <c r="P505">
        <v>61</v>
      </c>
      <c r="Q505" t="s">
        <v>319</v>
      </c>
      <c r="R505">
        <v>178</v>
      </c>
      <c r="S505">
        <f>_xlfn.XLOOKUP(Table2[[#This Row],[Obs_date]],'19-20_niwa_temp_data'!B:B,'19-20_niwa_temp_data'!G:G, "N/A")</f>
        <v>16.742759629165079</v>
      </c>
      <c r="T505">
        <f>_xlfn.XLOOKUP(Table2[[#This Row],[First_egg_lay_date]],'19-20_niwa_temp_data'!B:B,'19-20_niwa_temp_data'!G:G, "No Match")</f>
        <v>13.692333621410194</v>
      </c>
    </row>
    <row r="506" spans="1:20" hidden="1" x14ac:dyDescent="0.35">
      <c r="A506" t="s">
        <v>9</v>
      </c>
      <c r="B506" t="s">
        <v>11</v>
      </c>
      <c r="C506" s="3" t="s">
        <v>100</v>
      </c>
      <c r="D506" t="str">
        <f>_xlfn.XLOOKUP(Table2[[#This Row],[Female_ID ]],'19-20_female_cohort'!I:I,'19-20_female_cohort'!H:H, "No Match")</f>
        <v>2015/2016</v>
      </c>
      <c r="E506">
        <v>4</v>
      </c>
      <c r="F506" s="11">
        <v>43765</v>
      </c>
      <c r="G506">
        <f>_xlfn.XLOOKUP(Table2[[#This Row],[First_egg_lay_date]],'19-20_niwa_temp_data'!B:B,'19-20_niwa_temp_data'!G:G, "No Match")</f>
        <v>13.692333621410194</v>
      </c>
      <c r="H506">
        <v>4</v>
      </c>
      <c r="I506" s="11">
        <v>43768</v>
      </c>
      <c r="J506">
        <f>_xlfn.XLOOKUP(Table2[[#This Row],[Nest_box_ID]],Sheet1!A:A,Sheet1!L:L, "No Match")</f>
        <v>0</v>
      </c>
      <c r="K506" s="11">
        <v>43783</v>
      </c>
      <c r="L506">
        <f>_xlfn.XLOOKUP(Table2[[#This Row],[Nest_box_ID]],Sheet1!A:A,Sheet1!K:K, "No Match")</f>
        <v>15</v>
      </c>
      <c r="M506" s="11">
        <v>43775</v>
      </c>
      <c r="N506" s="16">
        <v>0.56212962962962965</v>
      </c>
      <c r="O506">
        <v>8</v>
      </c>
      <c r="P506">
        <v>61</v>
      </c>
      <c r="Q506" t="s">
        <v>320</v>
      </c>
      <c r="R506">
        <v>720</v>
      </c>
      <c r="S506">
        <f>_xlfn.XLOOKUP(Table2[[#This Row],[Obs_date]],'19-20_niwa_temp_data'!B:B,'19-20_niwa_temp_data'!G:G, "N/A")</f>
        <v>16.742759629165079</v>
      </c>
      <c r="T506">
        <f>_xlfn.XLOOKUP(Table2[[#This Row],[First_egg_lay_date]],'19-20_niwa_temp_data'!B:B,'19-20_niwa_temp_data'!G:G, "No Match")</f>
        <v>13.692333621410194</v>
      </c>
    </row>
    <row r="507" spans="1:20" x14ac:dyDescent="0.35">
      <c r="A507" t="s">
        <v>9</v>
      </c>
      <c r="B507" t="s">
        <v>11</v>
      </c>
      <c r="C507" s="3" t="s">
        <v>100</v>
      </c>
      <c r="D507" t="str">
        <f>_xlfn.XLOOKUP(Table2[[#This Row],[Female_ID ]],'19-20_female_cohort'!I:I,'19-20_female_cohort'!H:H, "No Match")</f>
        <v>2015/2016</v>
      </c>
      <c r="E507">
        <v>4</v>
      </c>
      <c r="F507" s="11">
        <v>43765</v>
      </c>
      <c r="G507">
        <f>_xlfn.XLOOKUP(Table2[[#This Row],[First_egg_lay_date]],'19-20_niwa_temp_data'!B:B,'19-20_niwa_temp_data'!G:G, "No Match")</f>
        <v>13.692333621410194</v>
      </c>
      <c r="H507">
        <v>4</v>
      </c>
      <c r="I507" s="11">
        <v>43768</v>
      </c>
      <c r="J507">
        <f>_xlfn.XLOOKUP(Table2[[#This Row],[Nest_box_ID]],Sheet1!A:A,Sheet1!L:L, "No Match")</f>
        <v>0</v>
      </c>
      <c r="K507" s="11">
        <v>43783</v>
      </c>
      <c r="L507">
        <f>_xlfn.XLOOKUP(Table2[[#This Row],[Nest_box_ID]],Sheet1!A:A,Sheet1!K:K, "No Match")</f>
        <v>15</v>
      </c>
      <c r="M507" s="11">
        <v>43775</v>
      </c>
      <c r="N507" s="16">
        <v>0.57046296296296295</v>
      </c>
      <c r="O507">
        <v>8</v>
      </c>
      <c r="P507">
        <v>61</v>
      </c>
      <c r="Q507" t="s">
        <v>319</v>
      </c>
      <c r="R507">
        <v>278</v>
      </c>
      <c r="S507">
        <f>_xlfn.XLOOKUP(Table2[[#This Row],[Obs_date]],'19-20_niwa_temp_data'!B:B,'19-20_niwa_temp_data'!G:G, "N/A")</f>
        <v>16.742759629165079</v>
      </c>
      <c r="T507">
        <f>_xlfn.XLOOKUP(Table2[[#This Row],[First_egg_lay_date]],'19-20_niwa_temp_data'!B:B,'19-20_niwa_temp_data'!G:G, "No Match")</f>
        <v>13.692333621410194</v>
      </c>
    </row>
    <row r="508" spans="1:20" hidden="1" x14ac:dyDescent="0.35">
      <c r="A508" t="s">
        <v>9</v>
      </c>
      <c r="B508" t="s">
        <v>11</v>
      </c>
      <c r="C508" s="3" t="s">
        <v>100</v>
      </c>
      <c r="D508" t="str">
        <f>_xlfn.XLOOKUP(Table2[[#This Row],[Female_ID ]],'19-20_female_cohort'!I:I,'19-20_female_cohort'!H:H, "No Match")</f>
        <v>2015/2016</v>
      </c>
      <c r="E508">
        <v>4</v>
      </c>
      <c r="F508" s="11">
        <v>43765</v>
      </c>
      <c r="G508">
        <f>_xlfn.XLOOKUP(Table2[[#This Row],[First_egg_lay_date]],'19-20_niwa_temp_data'!B:B,'19-20_niwa_temp_data'!G:G, "No Match")</f>
        <v>13.692333621410194</v>
      </c>
      <c r="H508">
        <v>4</v>
      </c>
      <c r="I508" s="11">
        <v>43768</v>
      </c>
      <c r="J508">
        <f>_xlfn.XLOOKUP(Table2[[#This Row],[Nest_box_ID]],Sheet1!A:A,Sheet1!L:L, "No Match")</f>
        <v>0</v>
      </c>
      <c r="K508" s="11">
        <v>43783</v>
      </c>
      <c r="L508">
        <f>_xlfn.XLOOKUP(Table2[[#This Row],[Nest_box_ID]],Sheet1!A:A,Sheet1!K:K, "No Match")</f>
        <v>15</v>
      </c>
      <c r="M508" s="11">
        <v>43775</v>
      </c>
      <c r="N508" s="16">
        <v>0.57368055555555553</v>
      </c>
      <c r="O508">
        <v>8</v>
      </c>
      <c r="P508">
        <v>61</v>
      </c>
      <c r="Q508" t="s">
        <v>320</v>
      </c>
      <c r="R508">
        <v>1303</v>
      </c>
      <c r="S508">
        <f>_xlfn.XLOOKUP(Table2[[#This Row],[Obs_date]],'19-20_niwa_temp_data'!B:B,'19-20_niwa_temp_data'!G:G, "N/A")</f>
        <v>16.742759629165079</v>
      </c>
      <c r="T508">
        <f>_xlfn.XLOOKUP(Table2[[#This Row],[First_egg_lay_date]],'19-20_niwa_temp_data'!B:B,'19-20_niwa_temp_data'!G:G, "No Match")</f>
        <v>13.692333621410194</v>
      </c>
    </row>
    <row r="509" spans="1:20" hidden="1" x14ac:dyDescent="0.35">
      <c r="A509" t="s">
        <v>9</v>
      </c>
      <c r="B509" t="s">
        <v>11</v>
      </c>
      <c r="C509" s="3" t="s">
        <v>100</v>
      </c>
      <c r="D509" t="str">
        <f>_xlfn.XLOOKUP(Table2[[#This Row],[Female_ID ]],'19-20_female_cohort'!I:I,'19-20_female_cohort'!H:H, "No Match")</f>
        <v>2015/2016</v>
      </c>
      <c r="E509">
        <v>4</v>
      </c>
      <c r="F509" s="11">
        <v>43765</v>
      </c>
      <c r="G509">
        <f>_xlfn.XLOOKUP(Table2[[#This Row],[First_egg_lay_date]],'19-20_niwa_temp_data'!B:B,'19-20_niwa_temp_data'!G:G, "No Match")</f>
        <v>13.692333621410194</v>
      </c>
      <c r="H509">
        <v>4</v>
      </c>
      <c r="I509" s="11">
        <v>43768</v>
      </c>
      <c r="J509">
        <f>_xlfn.XLOOKUP(Table2[[#This Row],[Nest_box_ID]],Sheet1!A:A,Sheet1!L:L, "No Match")</f>
        <v>0</v>
      </c>
      <c r="K509" s="11">
        <v>43783</v>
      </c>
      <c r="L509">
        <f>_xlfn.XLOOKUP(Table2[[#This Row],[Nest_box_ID]],Sheet1!A:A,Sheet1!K:K, "No Match")</f>
        <v>15</v>
      </c>
      <c r="M509" s="11">
        <v>43775</v>
      </c>
      <c r="N509" s="16">
        <v>0.58876157407407403</v>
      </c>
      <c r="O509">
        <v>8</v>
      </c>
      <c r="P509">
        <v>61</v>
      </c>
      <c r="Q509" t="s">
        <v>319</v>
      </c>
      <c r="R509" t="s">
        <v>254</v>
      </c>
      <c r="S509">
        <f>_xlfn.XLOOKUP(Table2[[#This Row],[Obs_date]],'19-20_niwa_temp_data'!B:B,'19-20_niwa_temp_data'!G:G, "N/A")</f>
        <v>16.742759629165079</v>
      </c>
      <c r="T509">
        <f>_xlfn.XLOOKUP(Table2[[#This Row],[First_egg_lay_date]],'19-20_niwa_temp_data'!B:B,'19-20_niwa_temp_data'!G:G, "No Match")</f>
        <v>13.692333621410194</v>
      </c>
    </row>
    <row r="510" spans="1:20" x14ac:dyDescent="0.35">
      <c r="A510" t="s">
        <v>9</v>
      </c>
      <c r="B510" t="s">
        <v>64</v>
      </c>
      <c r="C510" s="3" t="s">
        <v>153</v>
      </c>
      <c r="D510" t="str">
        <f>_xlfn.XLOOKUP(Table2[[#This Row],[Female_ID ]],'19-20_female_cohort'!I:I,'19-20_female_cohort'!H:H, "No Match")</f>
        <v>2016/2017</v>
      </c>
      <c r="E510">
        <v>3</v>
      </c>
      <c r="F510" s="11">
        <v>43796</v>
      </c>
      <c r="G510">
        <f>_xlfn.XLOOKUP(Table2[[#This Row],[First_egg_lay_date]],'19-20_niwa_temp_data'!B:B,'19-20_niwa_temp_data'!G:G, "No Match")</f>
        <v>17.287857010051884</v>
      </c>
      <c r="H510">
        <v>5</v>
      </c>
      <c r="I510" s="11">
        <v>43800</v>
      </c>
      <c r="J510">
        <f>_xlfn.XLOOKUP(Table2[[#This Row],[Nest_box_ID]],Sheet1!A:A,Sheet1!L:L, "No Match")</f>
        <v>0</v>
      </c>
      <c r="K510" s="11">
        <v>43814</v>
      </c>
      <c r="L510">
        <f>_xlfn.XLOOKUP(Table2[[#This Row],[Nest_box_ID]],Sheet1!A:A,Sheet1!K:K, "No Match")</f>
        <v>14</v>
      </c>
      <c r="M510" s="11">
        <v>43800</v>
      </c>
      <c r="N510" s="16">
        <v>0.59180555555555558</v>
      </c>
      <c r="O510">
        <v>1</v>
      </c>
      <c r="P510">
        <v>22</v>
      </c>
      <c r="Q510" t="s">
        <v>319</v>
      </c>
      <c r="R510">
        <v>82</v>
      </c>
      <c r="S510">
        <f>_xlfn.XLOOKUP(Table2[[#This Row],[Obs_date]],'19-20_niwa_temp_data'!B:B,'19-20_niwa_temp_data'!G:G, "N/A")</f>
        <v>18.185708674670888</v>
      </c>
      <c r="T510">
        <f>_xlfn.XLOOKUP(Table2[[#This Row],[First_egg_lay_date]],'19-20_niwa_temp_data'!B:B,'19-20_niwa_temp_data'!G:G, "No Match")</f>
        <v>17.287857010051884</v>
      </c>
    </row>
    <row r="511" spans="1:20" hidden="1" x14ac:dyDescent="0.35">
      <c r="A511" t="s">
        <v>9</v>
      </c>
      <c r="B511" t="s">
        <v>64</v>
      </c>
      <c r="C511" s="3" t="s">
        <v>153</v>
      </c>
      <c r="D511" t="str">
        <f>_xlfn.XLOOKUP(Table2[[#This Row],[Female_ID ]],'19-20_female_cohort'!I:I,'19-20_female_cohort'!H:H, "No Match")</f>
        <v>2016/2017</v>
      </c>
      <c r="E511">
        <v>3</v>
      </c>
      <c r="F511" s="11">
        <v>43796</v>
      </c>
      <c r="G511">
        <f>_xlfn.XLOOKUP(Table2[[#This Row],[First_egg_lay_date]],'19-20_niwa_temp_data'!B:B,'19-20_niwa_temp_data'!G:G, "No Match")</f>
        <v>17.287857010051884</v>
      </c>
      <c r="H511">
        <v>5</v>
      </c>
      <c r="I511" s="11">
        <v>43800</v>
      </c>
      <c r="J511">
        <f>_xlfn.XLOOKUP(Table2[[#This Row],[Nest_box_ID]],Sheet1!A:A,Sheet1!L:L, "No Match")</f>
        <v>0</v>
      </c>
      <c r="K511" s="11">
        <v>43814</v>
      </c>
      <c r="L511">
        <f>_xlfn.XLOOKUP(Table2[[#This Row],[Nest_box_ID]],Sheet1!A:A,Sheet1!K:K, "No Match")</f>
        <v>14</v>
      </c>
      <c r="M511" s="11">
        <v>43800</v>
      </c>
      <c r="N511" s="16">
        <v>0.59275462962962966</v>
      </c>
      <c r="O511">
        <v>1</v>
      </c>
      <c r="P511">
        <v>22</v>
      </c>
      <c r="Q511" t="s">
        <v>320</v>
      </c>
      <c r="R511">
        <v>594</v>
      </c>
      <c r="S511">
        <f>_xlfn.XLOOKUP(Table2[[#This Row],[Obs_date]],'19-20_niwa_temp_data'!B:B,'19-20_niwa_temp_data'!G:G, "N/A")</f>
        <v>18.185708674670888</v>
      </c>
      <c r="T511">
        <f>_xlfn.XLOOKUP(Table2[[#This Row],[First_egg_lay_date]],'19-20_niwa_temp_data'!B:B,'19-20_niwa_temp_data'!G:G, "No Match")</f>
        <v>17.287857010051884</v>
      </c>
    </row>
    <row r="512" spans="1:20" x14ac:dyDescent="0.35">
      <c r="A512" t="s">
        <v>9</v>
      </c>
      <c r="B512" t="s">
        <v>64</v>
      </c>
      <c r="C512" s="3" t="s">
        <v>153</v>
      </c>
      <c r="D512" t="str">
        <f>_xlfn.XLOOKUP(Table2[[#This Row],[Female_ID ]],'19-20_female_cohort'!I:I,'19-20_female_cohort'!H:H, "No Match")</f>
        <v>2016/2017</v>
      </c>
      <c r="E512">
        <v>3</v>
      </c>
      <c r="F512" s="11">
        <v>43796</v>
      </c>
      <c r="G512">
        <f>_xlfn.XLOOKUP(Table2[[#This Row],[First_egg_lay_date]],'19-20_niwa_temp_data'!B:B,'19-20_niwa_temp_data'!G:G, "No Match")</f>
        <v>17.287857010051884</v>
      </c>
      <c r="H512">
        <v>5</v>
      </c>
      <c r="I512" s="11">
        <v>43800</v>
      </c>
      <c r="J512">
        <f>_xlfn.XLOOKUP(Table2[[#This Row],[Nest_box_ID]],Sheet1!A:A,Sheet1!L:L, "No Match")</f>
        <v>0</v>
      </c>
      <c r="K512" s="11">
        <v>43814</v>
      </c>
      <c r="L512">
        <f>_xlfn.XLOOKUP(Table2[[#This Row],[Nest_box_ID]],Sheet1!A:A,Sheet1!K:K, "No Match")</f>
        <v>14</v>
      </c>
      <c r="M512" s="11">
        <v>43800</v>
      </c>
      <c r="N512" s="16">
        <v>0.59962962962962962</v>
      </c>
      <c r="O512">
        <v>1</v>
      </c>
      <c r="P512">
        <v>22</v>
      </c>
      <c r="Q512" t="s">
        <v>319</v>
      </c>
      <c r="R512">
        <v>6</v>
      </c>
      <c r="S512">
        <f>_xlfn.XLOOKUP(Table2[[#This Row],[Obs_date]],'19-20_niwa_temp_data'!B:B,'19-20_niwa_temp_data'!G:G, "N/A")</f>
        <v>18.185708674670888</v>
      </c>
      <c r="T512">
        <f>_xlfn.XLOOKUP(Table2[[#This Row],[First_egg_lay_date]],'19-20_niwa_temp_data'!B:B,'19-20_niwa_temp_data'!G:G, "No Match")</f>
        <v>17.287857010051884</v>
      </c>
    </row>
    <row r="513" spans="1:20" hidden="1" x14ac:dyDescent="0.35">
      <c r="A513" t="s">
        <v>9</v>
      </c>
      <c r="B513" t="s">
        <v>64</v>
      </c>
      <c r="C513" s="3" t="s">
        <v>153</v>
      </c>
      <c r="D513" t="str">
        <f>_xlfn.XLOOKUP(Table2[[#This Row],[Female_ID ]],'19-20_female_cohort'!I:I,'19-20_female_cohort'!H:H, "No Match")</f>
        <v>2016/2017</v>
      </c>
      <c r="E513">
        <v>3</v>
      </c>
      <c r="F513" s="11">
        <v>43796</v>
      </c>
      <c r="G513">
        <f>_xlfn.XLOOKUP(Table2[[#This Row],[First_egg_lay_date]],'19-20_niwa_temp_data'!B:B,'19-20_niwa_temp_data'!G:G, "No Match")</f>
        <v>17.287857010051884</v>
      </c>
      <c r="H513">
        <v>5</v>
      </c>
      <c r="I513" s="11">
        <v>43800</v>
      </c>
      <c r="J513">
        <f>_xlfn.XLOOKUP(Table2[[#This Row],[Nest_box_ID]],Sheet1!A:A,Sheet1!L:L, "No Match")</f>
        <v>0</v>
      </c>
      <c r="K513" s="11">
        <v>43814</v>
      </c>
      <c r="L513">
        <f>_xlfn.XLOOKUP(Table2[[#This Row],[Nest_box_ID]],Sheet1!A:A,Sheet1!K:K, "No Match")</f>
        <v>14</v>
      </c>
      <c r="M513" s="11">
        <v>43800</v>
      </c>
      <c r="N513" s="16">
        <v>0.59969907407407408</v>
      </c>
      <c r="O513">
        <v>1</v>
      </c>
      <c r="P513">
        <v>22</v>
      </c>
      <c r="Q513" t="s">
        <v>320</v>
      </c>
      <c r="R513" t="s">
        <v>254</v>
      </c>
      <c r="S513">
        <f>_xlfn.XLOOKUP(Table2[[#This Row],[Obs_date]],'19-20_niwa_temp_data'!B:B,'19-20_niwa_temp_data'!G:G, "N/A")</f>
        <v>18.185708674670888</v>
      </c>
      <c r="T513">
        <f>_xlfn.XLOOKUP(Table2[[#This Row],[First_egg_lay_date]],'19-20_niwa_temp_data'!B:B,'19-20_niwa_temp_data'!G:G, "No Match")</f>
        <v>17.287857010051884</v>
      </c>
    </row>
    <row r="514" spans="1:20" x14ac:dyDescent="0.35">
      <c r="A514" t="s">
        <v>9</v>
      </c>
      <c r="B514" t="s">
        <v>64</v>
      </c>
      <c r="C514" s="3" t="s">
        <v>153</v>
      </c>
      <c r="D514" t="str">
        <f>_xlfn.XLOOKUP(Table2[[#This Row],[Female_ID ]],'19-20_female_cohort'!I:I,'19-20_female_cohort'!H:H, "No Match")</f>
        <v>2016/2017</v>
      </c>
      <c r="E514">
        <v>3</v>
      </c>
      <c r="F514" s="11">
        <v>43796</v>
      </c>
      <c r="G514">
        <f>_xlfn.XLOOKUP(Table2[[#This Row],[First_egg_lay_date]],'19-20_niwa_temp_data'!B:B,'19-20_niwa_temp_data'!G:G, "No Match")</f>
        <v>17.287857010051884</v>
      </c>
      <c r="H514">
        <v>5</v>
      </c>
      <c r="I514" s="11">
        <v>43800</v>
      </c>
      <c r="J514">
        <f>_xlfn.XLOOKUP(Table2[[#This Row],[Nest_box_ID]],Sheet1!A:A,Sheet1!L:L, "No Match")</f>
        <v>0</v>
      </c>
      <c r="K514" s="11">
        <v>43814</v>
      </c>
      <c r="L514">
        <f>_xlfn.XLOOKUP(Table2[[#This Row],[Nest_box_ID]],Sheet1!A:A,Sheet1!K:K, "No Match")</f>
        <v>14</v>
      </c>
      <c r="M514" s="11">
        <v>43807</v>
      </c>
      <c r="N514" s="16">
        <v>0.50399305555555551</v>
      </c>
      <c r="O514">
        <v>7</v>
      </c>
      <c r="P514">
        <v>63</v>
      </c>
      <c r="Q514" t="s">
        <v>319</v>
      </c>
      <c r="R514">
        <v>253</v>
      </c>
      <c r="S514">
        <f>_xlfn.XLOOKUP(Table2[[#This Row],[Obs_date]],'19-20_niwa_temp_data'!B:B,'19-20_niwa_temp_data'!G:G, "N/A")</f>
        <v>19.420092687729376</v>
      </c>
      <c r="T514">
        <f>_xlfn.XLOOKUP(Table2[[#This Row],[First_egg_lay_date]],'19-20_niwa_temp_data'!B:B,'19-20_niwa_temp_data'!G:G, "No Match")</f>
        <v>17.287857010051884</v>
      </c>
    </row>
    <row r="515" spans="1:20" hidden="1" x14ac:dyDescent="0.35">
      <c r="A515" t="s">
        <v>9</v>
      </c>
      <c r="B515" t="s">
        <v>64</v>
      </c>
      <c r="C515" s="3" t="s">
        <v>153</v>
      </c>
      <c r="D515" t="str">
        <f>_xlfn.XLOOKUP(Table2[[#This Row],[Female_ID ]],'19-20_female_cohort'!I:I,'19-20_female_cohort'!H:H, "No Match")</f>
        <v>2016/2017</v>
      </c>
      <c r="E515">
        <v>3</v>
      </c>
      <c r="F515" s="11">
        <v>43796</v>
      </c>
      <c r="G515">
        <f>_xlfn.XLOOKUP(Table2[[#This Row],[First_egg_lay_date]],'19-20_niwa_temp_data'!B:B,'19-20_niwa_temp_data'!G:G, "No Match")</f>
        <v>17.287857010051884</v>
      </c>
      <c r="H515">
        <v>5</v>
      </c>
      <c r="I515" s="11">
        <v>43800</v>
      </c>
      <c r="J515">
        <f>_xlfn.XLOOKUP(Table2[[#This Row],[Nest_box_ID]],Sheet1!A:A,Sheet1!L:L, "No Match")</f>
        <v>0</v>
      </c>
      <c r="K515" s="11">
        <v>43814</v>
      </c>
      <c r="L515">
        <f>_xlfn.XLOOKUP(Table2[[#This Row],[Nest_box_ID]],Sheet1!A:A,Sheet1!K:K, "No Match")</f>
        <v>14</v>
      </c>
      <c r="M515" s="11">
        <v>43807</v>
      </c>
      <c r="N515" s="16">
        <v>0.50692129629629634</v>
      </c>
      <c r="O515">
        <v>7</v>
      </c>
      <c r="P515">
        <v>63</v>
      </c>
      <c r="Q515" t="s">
        <v>320</v>
      </c>
      <c r="R515" t="s">
        <v>254</v>
      </c>
      <c r="S515">
        <f>_xlfn.XLOOKUP(Table2[[#This Row],[Obs_date]],'19-20_niwa_temp_data'!B:B,'19-20_niwa_temp_data'!G:G, "N/A")</f>
        <v>19.420092687729376</v>
      </c>
      <c r="T515">
        <f>_xlfn.XLOOKUP(Table2[[#This Row],[First_egg_lay_date]],'19-20_niwa_temp_data'!B:B,'19-20_niwa_temp_data'!G:G, "No Match")</f>
        <v>17.287857010051884</v>
      </c>
    </row>
    <row r="516" spans="1:20" x14ac:dyDescent="0.35">
      <c r="A516" t="s">
        <v>9</v>
      </c>
      <c r="B516" t="s">
        <v>39</v>
      </c>
      <c r="C516" s="3" t="s">
        <v>128</v>
      </c>
      <c r="D516" t="str">
        <f>_xlfn.XLOOKUP(Table2[[#This Row],[Female_ID ]],'19-20_female_cohort'!I:I,'19-20_female_cohort'!H:H, "No Match")</f>
        <v>2015/2016</v>
      </c>
      <c r="E516">
        <v>4</v>
      </c>
      <c r="F516" s="11">
        <v>43779</v>
      </c>
      <c r="G516">
        <f>_xlfn.XLOOKUP(Table2[[#This Row],[First_egg_lay_date]],'19-20_niwa_temp_data'!B:B,'19-20_niwa_temp_data'!G:G, "No Match")</f>
        <v>17.618172436436193</v>
      </c>
      <c r="H516">
        <v>4</v>
      </c>
      <c r="I516" s="11">
        <v>43782</v>
      </c>
      <c r="J516">
        <f>_xlfn.XLOOKUP(Table2[[#This Row],[Nest_box_ID]],Sheet1!A:A,Sheet1!L:L, "No Match")</f>
        <v>0</v>
      </c>
      <c r="K516" s="11">
        <v>43796</v>
      </c>
      <c r="L516">
        <f>_xlfn.XLOOKUP(Table2[[#This Row],[Nest_box_ID]],Sheet1!A:A,Sheet1!K:K, "No Match")</f>
        <v>14</v>
      </c>
      <c r="M516" s="11">
        <v>43783</v>
      </c>
      <c r="N516" s="16">
        <v>0.50555555555555554</v>
      </c>
      <c r="O516">
        <v>1</v>
      </c>
      <c r="P516">
        <v>61</v>
      </c>
      <c r="Q516" t="s">
        <v>319</v>
      </c>
      <c r="R516">
        <v>331</v>
      </c>
      <c r="S516">
        <f>_xlfn.XLOOKUP(Table2[[#This Row],[Obs_date]],'19-20_niwa_temp_data'!B:B,'19-20_niwa_temp_data'!G:G, "N/A")</f>
        <v>16.095962226595837</v>
      </c>
      <c r="T516">
        <f>_xlfn.XLOOKUP(Table2[[#This Row],[First_egg_lay_date]],'19-20_niwa_temp_data'!B:B,'19-20_niwa_temp_data'!G:G, "No Match")</f>
        <v>17.618172436436193</v>
      </c>
    </row>
    <row r="517" spans="1:20" hidden="1" x14ac:dyDescent="0.35">
      <c r="A517" t="s">
        <v>9</v>
      </c>
      <c r="B517" t="s">
        <v>39</v>
      </c>
      <c r="C517" s="3" t="s">
        <v>128</v>
      </c>
      <c r="D517" t="str">
        <f>_xlfn.XLOOKUP(Table2[[#This Row],[Female_ID ]],'19-20_female_cohort'!I:I,'19-20_female_cohort'!H:H, "No Match")</f>
        <v>2015/2016</v>
      </c>
      <c r="E517">
        <v>4</v>
      </c>
      <c r="F517" s="11">
        <v>43779</v>
      </c>
      <c r="G517">
        <f>_xlfn.XLOOKUP(Table2[[#This Row],[First_egg_lay_date]],'19-20_niwa_temp_data'!B:B,'19-20_niwa_temp_data'!G:G, "No Match")</f>
        <v>17.618172436436193</v>
      </c>
      <c r="H517">
        <v>4</v>
      </c>
      <c r="I517" s="11">
        <v>43782</v>
      </c>
      <c r="J517">
        <f>_xlfn.XLOOKUP(Table2[[#This Row],[Nest_box_ID]],Sheet1!A:A,Sheet1!L:L, "No Match")</f>
        <v>0</v>
      </c>
      <c r="K517" s="11">
        <v>43796</v>
      </c>
      <c r="L517">
        <f>_xlfn.XLOOKUP(Table2[[#This Row],[Nest_box_ID]],Sheet1!A:A,Sheet1!K:K, "No Match")</f>
        <v>14</v>
      </c>
      <c r="M517" s="11">
        <v>43783</v>
      </c>
      <c r="N517" s="16">
        <v>0.50938657407407406</v>
      </c>
      <c r="O517">
        <v>1</v>
      </c>
      <c r="P517">
        <v>61</v>
      </c>
      <c r="Q517" t="s">
        <v>320</v>
      </c>
      <c r="R517">
        <v>1247</v>
      </c>
      <c r="S517">
        <f>_xlfn.XLOOKUP(Table2[[#This Row],[Obs_date]],'19-20_niwa_temp_data'!B:B,'19-20_niwa_temp_data'!G:G, "N/A")</f>
        <v>16.095962226595837</v>
      </c>
      <c r="T517">
        <f>_xlfn.XLOOKUP(Table2[[#This Row],[First_egg_lay_date]],'19-20_niwa_temp_data'!B:B,'19-20_niwa_temp_data'!G:G, "No Match")</f>
        <v>17.618172436436193</v>
      </c>
    </row>
    <row r="518" spans="1:20" x14ac:dyDescent="0.35">
      <c r="A518" t="s">
        <v>9</v>
      </c>
      <c r="B518" t="s">
        <v>39</v>
      </c>
      <c r="C518" s="3" t="s">
        <v>128</v>
      </c>
      <c r="D518" t="str">
        <f>_xlfn.XLOOKUP(Table2[[#This Row],[Female_ID ]],'19-20_female_cohort'!I:I,'19-20_female_cohort'!H:H, "No Match")</f>
        <v>2015/2016</v>
      </c>
      <c r="E518">
        <v>4</v>
      </c>
      <c r="F518" s="11">
        <v>43779</v>
      </c>
      <c r="G518">
        <f>_xlfn.XLOOKUP(Table2[[#This Row],[First_egg_lay_date]],'19-20_niwa_temp_data'!B:B,'19-20_niwa_temp_data'!G:G, "No Match")</f>
        <v>17.618172436436193</v>
      </c>
      <c r="H518">
        <v>4</v>
      </c>
      <c r="I518" s="11">
        <v>43782</v>
      </c>
      <c r="J518">
        <f>_xlfn.XLOOKUP(Table2[[#This Row],[Nest_box_ID]],Sheet1!A:A,Sheet1!L:L, "No Match")</f>
        <v>0</v>
      </c>
      <c r="K518" s="11">
        <v>43796</v>
      </c>
      <c r="L518">
        <f>_xlfn.XLOOKUP(Table2[[#This Row],[Nest_box_ID]],Sheet1!A:A,Sheet1!K:K, "No Match")</f>
        <v>14</v>
      </c>
      <c r="M518" s="11">
        <v>43783</v>
      </c>
      <c r="N518" s="16">
        <v>0.52381944444444439</v>
      </c>
      <c r="O518">
        <v>1</v>
      </c>
      <c r="P518">
        <v>61</v>
      </c>
      <c r="Q518" t="s">
        <v>319</v>
      </c>
      <c r="R518">
        <v>213</v>
      </c>
      <c r="S518">
        <f>_xlfn.XLOOKUP(Table2[[#This Row],[Obs_date]],'19-20_niwa_temp_data'!B:B,'19-20_niwa_temp_data'!G:G, "N/A")</f>
        <v>16.095962226595837</v>
      </c>
      <c r="T518">
        <f>_xlfn.XLOOKUP(Table2[[#This Row],[First_egg_lay_date]],'19-20_niwa_temp_data'!B:B,'19-20_niwa_temp_data'!G:G, "No Match")</f>
        <v>17.618172436436193</v>
      </c>
    </row>
    <row r="519" spans="1:20" hidden="1" x14ac:dyDescent="0.35">
      <c r="A519" t="s">
        <v>9</v>
      </c>
      <c r="B519" t="s">
        <v>39</v>
      </c>
      <c r="C519" s="3" t="s">
        <v>128</v>
      </c>
      <c r="D519" t="str">
        <f>_xlfn.XLOOKUP(Table2[[#This Row],[Female_ID ]],'19-20_female_cohort'!I:I,'19-20_female_cohort'!H:H, "No Match")</f>
        <v>2015/2016</v>
      </c>
      <c r="E519">
        <v>4</v>
      </c>
      <c r="F519" s="11">
        <v>43779</v>
      </c>
      <c r="G519">
        <f>_xlfn.XLOOKUP(Table2[[#This Row],[First_egg_lay_date]],'19-20_niwa_temp_data'!B:B,'19-20_niwa_temp_data'!G:G, "No Match")</f>
        <v>17.618172436436193</v>
      </c>
      <c r="H519">
        <v>4</v>
      </c>
      <c r="I519" s="11">
        <v>43782</v>
      </c>
      <c r="J519">
        <f>_xlfn.XLOOKUP(Table2[[#This Row],[Nest_box_ID]],Sheet1!A:A,Sheet1!L:L, "No Match")</f>
        <v>0</v>
      </c>
      <c r="K519" s="11">
        <v>43796</v>
      </c>
      <c r="L519">
        <f>_xlfn.XLOOKUP(Table2[[#This Row],[Nest_box_ID]],Sheet1!A:A,Sheet1!K:K, "No Match")</f>
        <v>14</v>
      </c>
      <c r="M519" s="11">
        <v>43783</v>
      </c>
      <c r="N519" s="16">
        <v>0.52628472222222222</v>
      </c>
      <c r="O519">
        <v>1</v>
      </c>
      <c r="P519">
        <v>61</v>
      </c>
      <c r="Q519" t="s">
        <v>320</v>
      </c>
      <c r="R519">
        <v>335</v>
      </c>
      <c r="S519">
        <f>_xlfn.XLOOKUP(Table2[[#This Row],[Obs_date]],'19-20_niwa_temp_data'!B:B,'19-20_niwa_temp_data'!G:G, "N/A")</f>
        <v>16.095962226595837</v>
      </c>
      <c r="T519">
        <f>_xlfn.XLOOKUP(Table2[[#This Row],[First_egg_lay_date]],'19-20_niwa_temp_data'!B:B,'19-20_niwa_temp_data'!G:G, "No Match")</f>
        <v>17.618172436436193</v>
      </c>
    </row>
    <row r="520" spans="1:20" x14ac:dyDescent="0.35">
      <c r="A520" t="s">
        <v>9</v>
      </c>
      <c r="B520" t="s">
        <v>39</v>
      </c>
      <c r="C520" s="3" t="s">
        <v>128</v>
      </c>
      <c r="D520" t="str">
        <f>_xlfn.XLOOKUP(Table2[[#This Row],[Female_ID ]],'19-20_female_cohort'!I:I,'19-20_female_cohort'!H:H, "No Match")</f>
        <v>2015/2016</v>
      </c>
      <c r="E520">
        <v>4</v>
      </c>
      <c r="F520" s="11">
        <v>43779</v>
      </c>
      <c r="G520">
        <f>_xlfn.XLOOKUP(Table2[[#This Row],[First_egg_lay_date]],'19-20_niwa_temp_data'!B:B,'19-20_niwa_temp_data'!G:G, "No Match")</f>
        <v>17.618172436436193</v>
      </c>
      <c r="H520">
        <v>4</v>
      </c>
      <c r="I520" s="11">
        <v>43782</v>
      </c>
      <c r="J520">
        <f>_xlfn.XLOOKUP(Table2[[#This Row],[Nest_box_ID]],Sheet1!A:A,Sheet1!L:L, "No Match")</f>
        <v>0</v>
      </c>
      <c r="K520" s="11">
        <v>43796</v>
      </c>
      <c r="L520">
        <f>_xlfn.XLOOKUP(Table2[[#This Row],[Nest_box_ID]],Sheet1!A:A,Sheet1!K:K, "No Match")</f>
        <v>14</v>
      </c>
      <c r="M520" s="11">
        <v>43783</v>
      </c>
      <c r="N520" s="16">
        <v>0.53016203703703701</v>
      </c>
      <c r="O520">
        <v>1</v>
      </c>
      <c r="P520">
        <v>61</v>
      </c>
      <c r="Q520" t="s">
        <v>319</v>
      </c>
      <c r="R520">
        <v>194</v>
      </c>
      <c r="S520">
        <f>_xlfn.XLOOKUP(Table2[[#This Row],[Obs_date]],'19-20_niwa_temp_data'!B:B,'19-20_niwa_temp_data'!G:G, "N/A")</f>
        <v>16.095962226595837</v>
      </c>
      <c r="T520">
        <f>_xlfn.XLOOKUP(Table2[[#This Row],[First_egg_lay_date]],'19-20_niwa_temp_data'!B:B,'19-20_niwa_temp_data'!G:G, "No Match")</f>
        <v>17.618172436436193</v>
      </c>
    </row>
    <row r="521" spans="1:20" hidden="1" x14ac:dyDescent="0.35">
      <c r="A521" t="s">
        <v>9</v>
      </c>
      <c r="B521" t="s">
        <v>39</v>
      </c>
      <c r="C521" s="3" t="s">
        <v>128</v>
      </c>
      <c r="D521" t="str">
        <f>_xlfn.XLOOKUP(Table2[[#This Row],[Female_ID ]],'19-20_female_cohort'!I:I,'19-20_female_cohort'!H:H, "No Match")</f>
        <v>2015/2016</v>
      </c>
      <c r="E521">
        <v>4</v>
      </c>
      <c r="F521" s="11">
        <v>43779</v>
      </c>
      <c r="G521">
        <f>_xlfn.XLOOKUP(Table2[[#This Row],[First_egg_lay_date]],'19-20_niwa_temp_data'!B:B,'19-20_niwa_temp_data'!G:G, "No Match")</f>
        <v>17.618172436436193</v>
      </c>
      <c r="H521">
        <v>4</v>
      </c>
      <c r="I521" s="11">
        <v>43782</v>
      </c>
      <c r="J521">
        <f>_xlfn.XLOOKUP(Table2[[#This Row],[Nest_box_ID]],Sheet1!A:A,Sheet1!L:L, "No Match")</f>
        <v>0</v>
      </c>
      <c r="K521" s="11">
        <v>43796</v>
      </c>
      <c r="L521">
        <f>_xlfn.XLOOKUP(Table2[[#This Row],[Nest_box_ID]],Sheet1!A:A,Sheet1!K:K, "No Match")</f>
        <v>14</v>
      </c>
      <c r="M521" s="11">
        <v>43783</v>
      </c>
      <c r="N521" s="16">
        <v>0.53240740740740744</v>
      </c>
      <c r="O521">
        <v>1</v>
      </c>
      <c r="P521">
        <v>61</v>
      </c>
      <c r="Q521" t="s">
        <v>320</v>
      </c>
      <c r="R521" t="s">
        <v>254</v>
      </c>
      <c r="S521">
        <f>_xlfn.XLOOKUP(Table2[[#This Row],[Obs_date]],'19-20_niwa_temp_data'!B:B,'19-20_niwa_temp_data'!G:G, "N/A")</f>
        <v>16.095962226595837</v>
      </c>
      <c r="T521">
        <f>_xlfn.XLOOKUP(Table2[[#This Row],[First_egg_lay_date]],'19-20_niwa_temp_data'!B:B,'19-20_niwa_temp_data'!G:G, "No Match")</f>
        <v>17.618172436436193</v>
      </c>
    </row>
    <row r="522" spans="1:20" x14ac:dyDescent="0.35">
      <c r="A522" t="s">
        <v>9</v>
      </c>
      <c r="B522" t="s">
        <v>39</v>
      </c>
      <c r="C522" s="3" t="s">
        <v>128</v>
      </c>
      <c r="D522" t="str">
        <f>_xlfn.XLOOKUP(Table2[[#This Row],[Female_ID ]],'19-20_female_cohort'!I:I,'19-20_female_cohort'!H:H, "No Match")</f>
        <v>2015/2016</v>
      </c>
      <c r="E522">
        <v>4</v>
      </c>
      <c r="F522" s="11">
        <v>43779</v>
      </c>
      <c r="G522">
        <f>_xlfn.XLOOKUP(Table2[[#This Row],[First_egg_lay_date]],'19-20_niwa_temp_data'!B:B,'19-20_niwa_temp_data'!G:G, "No Match")</f>
        <v>17.618172436436193</v>
      </c>
      <c r="H522">
        <v>4</v>
      </c>
      <c r="I522" s="11">
        <v>43782</v>
      </c>
      <c r="J522">
        <f>_xlfn.XLOOKUP(Table2[[#This Row],[Nest_box_ID]],Sheet1!A:A,Sheet1!L:L, "No Match")</f>
        <v>0</v>
      </c>
      <c r="K522" s="11">
        <v>43796</v>
      </c>
      <c r="L522">
        <f>_xlfn.XLOOKUP(Table2[[#This Row],[Nest_box_ID]],Sheet1!A:A,Sheet1!K:K, "No Match")</f>
        <v>14</v>
      </c>
      <c r="M522" s="11">
        <v>43789</v>
      </c>
      <c r="N522" s="16">
        <v>0.7</v>
      </c>
      <c r="O522">
        <v>7</v>
      </c>
      <c r="P522">
        <v>62</v>
      </c>
      <c r="Q522" t="s">
        <v>319</v>
      </c>
      <c r="R522">
        <v>1380</v>
      </c>
      <c r="S522">
        <f>_xlfn.XLOOKUP(Table2[[#This Row],[Obs_date]],'19-20_niwa_temp_data'!B:B,'19-20_niwa_temp_data'!G:G, "N/A")</f>
        <v>13.516656391282572</v>
      </c>
      <c r="T522">
        <f>_xlfn.XLOOKUP(Table2[[#This Row],[First_egg_lay_date]],'19-20_niwa_temp_data'!B:B,'19-20_niwa_temp_data'!G:G, "No Match")</f>
        <v>17.618172436436193</v>
      </c>
    </row>
    <row r="523" spans="1:20" x14ac:dyDescent="0.35">
      <c r="A523" t="s">
        <v>9</v>
      </c>
      <c r="B523" t="s">
        <v>39</v>
      </c>
      <c r="C523" s="3" t="s">
        <v>128</v>
      </c>
      <c r="D523" t="str">
        <f>_xlfn.XLOOKUP(Table2[[#This Row],[Female_ID ]],'19-20_female_cohort'!I:I,'19-20_female_cohort'!H:H, "No Match")</f>
        <v>2015/2016</v>
      </c>
      <c r="E523">
        <v>4</v>
      </c>
      <c r="F523" s="11">
        <v>43779</v>
      </c>
      <c r="G523">
        <f>_xlfn.XLOOKUP(Table2[[#This Row],[First_egg_lay_date]],'19-20_niwa_temp_data'!B:B,'19-20_niwa_temp_data'!G:G, "No Match")</f>
        <v>17.618172436436193</v>
      </c>
      <c r="H523">
        <v>4</v>
      </c>
      <c r="I523" s="11">
        <v>43782</v>
      </c>
      <c r="J523">
        <f>_xlfn.XLOOKUP(Table2[[#This Row],[Nest_box_ID]],Sheet1!A:A,Sheet1!L:L, "No Match")</f>
        <v>0</v>
      </c>
      <c r="K523" s="11">
        <v>43796</v>
      </c>
      <c r="L523">
        <f>_xlfn.XLOOKUP(Table2[[#This Row],[Nest_box_ID]],Sheet1!A:A,Sheet1!K:K, "No Match")</f>
        <v>14</v>
      </c>
      <c r="M523" s="11">
        <v>43789</v>
      </c>
      <c r="N523" s="16">
        <v>0.71597222222222223</v>
      </c>
      <c r="O523">
        <v>7</v>
      </c>
      <c r="P523">
        <v>62</v>
      </c>
      <c r="Q523" t="s">
        <v>319</v>
      </c>
      <c r="R523">
        <v>309</v>
      </c>
      <c r="S523">
        <f>_xlfn.XLOOKUP(Table2[[#This Row],[Obs_date]],'19-20_niwa_temp_data'!B:B,'19-20_niwa_temp_data'!G:G, "N/A")</f>
        <v>13.516656391282572</v>
      </c>
      <c r="T523">
        <f>_xlfn.XLOOKUP(Table2[[#This Row],[First_egg_lay_date]],'19-20_niwa_temp_data'!B:B,'19-20_niwa_temp_data'!G:G, "No Match")</f>
        <v>17.618172436436193</v>
      </c>
    </row>
    <row r="524" spans="1:20" hidden="1" x14ac:dyDescent="0.35">
      <c r="A524" t="s">
        <v>9</v>
      </c>
      <c r="B524" t="s">
        <v>39</v>
      </c>
      <c r="C524" s="3" t="s">
        <v>128</v>
      </c>
      <c r="D524" t="str">
        <f>_xlfn.XLOOKUP(Table2[[#This Row],[Female_ID ]],'19-20_female_cohort'!I:I,'19-20_female_cohort'!H:H, "No Match")</f>
        <v>2015/2016</v>
      </c>
      <c r="E524">
        <v>4</v>
      </c>
      <c r="F524" s="11">
        <v>43779</v>
      </c>
      <c r="G524">
        <f>_xlfn.XLOOKUP(Table2[[#This Row],[First_egg_lay_date]],'19-20_niwa_temp_data'!B:B,'19-20_niwa_temp_data'!G:G, "No Match")</f>
        <v>17.618172436436193</v>
      </c>
      <c r="H524">
        <v>4</v>
      </c>
      <c r="I524" s="11">
        <v>43782</v>
      </c>
      <c r="J524">
        <f>_xlfn.XLOOKUP(Table2[[#This Row],[Nest_box_ID]],Sheet1!A:A,Sheet1!L:L, "No Match")</f>
        <v>0</v>
      </c>
      <c r="K524" s="11">
        <v>43796</v>
      </c>
      <c r="L524">
        <f>_xlfn.XLOOKUP(Table2[[#This Row],[Nest_box_ID]],Sheet1!A:A,Sheet1!K:K, "No Match")</f>
        <v>14</v>
      </c>
      <c r="M524" s="11">
        <v>43789</v>
      </c>
      <c r="N524" s="16">
        <v>0.71954861111111112</v>
      </c>
      <c r="O524">
        <v>7</v>
      </c>
      <c r="P524">
        <v>62</v>
      </c>
      <c r="Q524" t="s">
        <v>320</v>
      </c>
      <c r="R524">
        <v>647</v>
      </c>
      <c r="S524">
        <f>_xlfn.XLOOKUP(Table2[[#This Row],[Obs_date]],'19-20_niwa_temp_data'!B:B,'19-20_niwa_temp_data'!G:G, "N/A")</f>
        <v>13.516656391282572</v>
      </c>
      <c r="T524">
        <f>_xlfn.XLOOKUP(Table2[[#This Row],[First_egg_lay_date]],'19-20_niwa_temp_data'!B:B,'19-20_niwa_temp_data'!G:G, "No Match")</f>
        <v>17.618172436436193</v>
      </c>
    </row>
    <row r="525" spans="1:20" x14ac:dyDescent="0.35">
      <c r="A525" t="s">
        <v>9</v>
      </c>
      <c r="B525" t="s">
        <v>39</v>
      </c>
      <c r="C525" s="3" t="s">
        <v>128</v>
      </c>
      <c r="D525" t="str">
        <f>_xlfn.XLOOKUP(Table2[[#This Row],[Female_ID ]],'19-20_female_cohort'!I:I,'19-20_female_cohort'!H:H, "No Match")</f>
        <v>2015/2016</v>
      </c>
      <c r="E525">
        <v>4</v>
      </c>
      <c r="F525" s="11">
        <v>43779</v>
      </c>
      <c r="G525">
        <f>_xlfn.XLOOKUP(Table2[[#This Row],[First_egg_lay_date]],'19-20_niwa_temp_data'!B:B,'19-20_niwa_temp_data'!G:G, "No Match")</f>
        <v>17.618172436436193</v>
      </c>
      <c r="H525">
        <v>4</v>
      </c>
      <c r="I525" s="11">
        <v>43782</v>
      </c>
      <c r="J525">
        <f>_xlfn.XLOOKUP(Table2[[#This Row],[Nest_box_ID]],Sheet1!A:A,Sheet1!L:L, "No Match")</f>
        <v>0</v>
      </c>
      <c r="K525" s="11">
        <v>43796</v>
      </c>
      <c r="L525">
        <f>_xlfn.XLOOKUP(Table2[[#This Row],[Nest_box_ID]],Sheet1!A:A,Sheet1!K:K, "No Match")</f>
        <v>14</v>
      </c>
      <c r="M525" s="11">
        <v>43789</v>
      </c>
      <c r="N525" s="16">
        <v>0.72703703703703704</v>
      </c>
      <c r="O525">
        <v>7</v>
      </c>
      <c r="P525">
        <v>62</v>
      </c>
      <c r="Q525" t="s">
        <v>319</v>
      </c>
      <c r="R525">
        <v>340</v>
      </c>
      <c r="S525">
        <f>_xlfn.XLOOKUP(Table2[[#This Row],[Obs_date]],'19-20_niwa_temp_data'!B:B,'19-20_niwa_temp_data'!G:G, "N/A")</f>
        <v>13.516656391282572</v>
      </c>
      <c r="T525">
        <f>_xlfn.XLOOKUP(Table2[[#This Row],[First_egg_lay_date]],'19-20_niwa_temp_data'!B:B,'19-20_niwa_temp_data'!G:G, "No Match")</f>
        <v>17.618172436436193</v>
      </c>
    </row>
    <row r="526" spans="1:20" hidden="1" x14ac:dyDescent="0.35">
      <c r="A526" t="s">
        <v>9</v>
      </c>
      <c r="B526" t="s">
        <v>39</v>
      </c>
      <c r="C526" s="3" t="s">
        <v>128</v>
      </c>
      <c r="D526" t="str">
        <f>_xlfn.XLOOKUP(Table2[[#This Row],[Female_ID ]],'19-20_female_cohort'!I:I,'19-20_female_cohort'!H:H, "No Match")</f>
        <v>2015/2016</v>
      </c>
      <c r="E526">
        <v>4</v>
      </c>
      <c r="F526" s="11">
        <v>43779</v>
      </c>
      <c r="G526">
        <f>_xlfn.XLOOKUP(Table2[[#This Row],[First_egg_lay_date]],'19-20_niwa_temp_data'!B:B,'19-20_niwa_temp_data'!G:G, "No Match")</f>
        <v>17.618172436436193</v>
      </c>
      <c r="H526">
        <v>4</v>
      </c>
      <c r="I526" s="11">
        <v>43782</v>
      </c>
      <c r="J526">
        <f>_xlfn.XLOOKUP(Table2[[#This Row],[Nest_box_ID]],Sheet1!A:A,Sheet1!L:L, "No Match")</f>
        <v>0</v>
      </c>
      <c r="K526" s="11">
        <v>43796</v>
      </c>
      <c r="L526">
        <f>_xlfn.XLOOKUP(Table2[[#This Row],[Nest_box_ID]],Sheet1!A:A,Sheet1!K:K, "No Match")</f>
        <v>14</v>
      </c>
      <c r="M526" s="11">
        <v>43789</v>
      </c>
      <c r="N526" s="16">
        <v>0.73097222222222225</v>
      </c>
      <c r="O526">
        <v>7</v>
      </c>
      <c r="P526">
        <v>62</v>
      </c>
      <c r="Q526" t="s">
        <v>320</v>
      </c>
      <c r="R526" t="s">
        <v>254</v>
      </c>
      <c r="S526">
        <f>_xlfn.XLOOKUP(Table2[[#This Row],[Obs_date]],'19-20_niwa_temp_data'!B:B,'19-20_niwa_temp_data'!G:G, "N/A")</f>
        <v>13.516656391282572</v>
      </c>
      <c r="T526">
        <f>_xlfn.XLOOKUP(Table2[[#This Row],[First_egg_lay_date]],'19-20_niwa_temp_data'!B:B,'19-20_niwa_temp_data'!G:G, "No Match")</f>
        <v>17.618172436436193</v>
      </c>
    </row>
    <row r="527" spans="1:20" x14ac:dyDescent="0.35">
      <c r="A527" t="s">
        <v>9</v>
      </c>
      <c r="B527" t="s">
        <v>39</v>
      </c>
      <c r="C527" s="3" t="s">
        <v>128</v>
      </c>
      <c r="D527" t="str">
        <f>_xlfn.XLOOKUP(Table2[[#This Row],[Female_ID ]],'19-20_female_cohort'!I:I,'19-20_female_cohort'!H:H, "No Match")</f>
        <v>2015/2016</v>
      </c>
      <c r="E527">
        <v>4</v>
      </c>
      <c r="F527" s="11">
        <v>43779</v>
      </c>
      <c r="G527">
        <f>_xlfn.XLOOKUP(Table2[[#This Row],[First_egg_lay_date]],'19-20_niwa_temp_data'!B:B,'19-20_niwa_temp_data'!G:G, "No Match")</f>
        <v>17.618172436436193</v>
      </c>
      <c r="H527">
        <v>4</v>
      </c>
      <c r="I527" s="11">
        <v>43782</v>
      </c>
      <c r="J527">
        <f>_xlfn.XLOOKUP(Table2[[#This Row],[Nest_box_ID]],Sheet1!A:A,Sheet1!L:L, "No Match")</f>
        <v>0</v>
      </c>
      <c r="K527" s="11">
        <v>43796</v>
      </c>
      <c r="L527">
        <f>_xlfn.XLOOKUP(Table2[[#This Row],[Nest_box_ID]],Sheet1!A:A,Sheet1!K:K, "No Match")</f>
        <v>14</v>
      </c>
      <c r="M527" s="11">
        <v>43795</v>
      </c>
      <c r="N527" s="16">
        <v>0.50902777777777775</v>
      </c>
      <c r="O527">
        <v>13</v>
      </c>
      <c r="P527">
        <v>19</v>
      </c>
      <c r="Q527" t="s">
        <v>319</v>
      </c>
      <c r="R527">
        <v>308</v>
      </c>
      <c r="S527">
        <f>_xlfn.XLOOKUP(Table2[[#This Row],[Obs_date]],'19-20_niwa_temp_data'!B:B,'19-20_niwa_temp_data'!G:G, "N/A")</f>
        <v>16.664933243190625</v>
      </c>
      <c r="T527">
        <f>_xlfn.XLOOKUP(Table2[[#This Row],[First_egg_lay_date]],'19-20_niwa_temp_data'!B:B,'19-20_niwa_temp_data'!G:G, "No Match")</f>
        <v>17.618172436436193</v>
      </c>
    </row>
    <row r="528" spans="1:20" hidden="1" x14ac:dyDescent="0.35">
      <c r="A528" t="s">
        <v>9</v>
      </c>
      <c r="B528" t="s">
        <v>39</v>
      </c>
      <c r="C528" s="3" t="s">
        <v>128</v>
      </c>
      <c r="D528" t="str">
        <f>_xlfn.XLOOKUP(Table2[[#This Row],[Female_ID ]],'19-20_female_cohort'!I:I,'19-20_female_cohort'!H:H, "No Match")</f>
        <v>2015/2016</v>
      </c>
      <c r="E528">
        <v>4</v>
      </c>
      <c r="F528" s="11">
        <v>43779</v>
      </c>
      <c r="G528">
        <f>_xlfn.XLOOKUP(Table2[[#This Row],[First_egg_lay_date]],'19-20_niwa_temp_data'!B:B,'19-20_niwa_temp_data'!G:G, "No Match")</f>
        <v>17.618172436436193</v>
      </c>
      <c r="H528">
        <v>4</v>
      </c>
      <c r="I528" s="11">
        <v>43782</v>
      </c>
      <c r="J528">
        <f>_xlfn.XLOOKUP(Table2[[#This Row],[Nest_box_ID]],Sheet1!A:A,Sheet1!L:L, "No Match")</f>
        <v>0</v>
      </c>
      <c r="K528" s="11">
        <v>43796</v>
      </c>
      <c r="L528">
        <f>_xlfn.XLOOKUP(Table2[[#This Row],[Nest_box_ID]],Sheet1!A:A,Sheet1!K:K, "No Match")</f>
        <v>14</v>
      </c>
      <c r="M528" s="11">
        <v>43795</v>
      </c>
      <c r="N528" s="16">
        <v>0.5125925925925926</v>
      </c>
      <c r="O528">
        <v>13</v>
      </c>
      <c r="P528">
        <v>19</v>
      </c>
      <c r="Q528" t="s">
        <v>320</v>
      </c>
      <c r="R528" t="s">
        <v>254</v>
      </c>
      <c r="S528">
        <f>_xlfn.XLOOKUP(Table2[[#This Row],[Obs_date]],'19-20_niwa_temp_data'!B:B,'19-20_niwa_temp_data'!G:G, "N/A")</f>
        <v>16.664933243190625</v>
      </c>
      <c r="T528">
        <f>_xlfn.XLOOKUP(Table2[[#This Row],[First_egg_lay_date]],'19-20_niwa_temp_data'!B:B,'19-20_niwa_temp_data'!G:G, "No Match")</f>
        <v>17.618172436436193</v>
      </c>
    </row>
    <row r="529" spans="1:20" x14ac:dyDescent="0.35">
      <c r="A529" t="s">
        <v>9</v>
      </c>
      <c r="B529" t="s">
        <v>39</v>
      </c>
      <c r="C529" s="3" t="s">
        <v>128</v>
      </c>
      <c r="D529" t="str">
        <f>_xlfn.XLOOKUP(Table2[[#This Row],[Female_ID ]],'19-20_female_cohort'!I:I,'19-20_female_cohort'!H:H, "No Match")</f>
        <v>2015/2016</v>
      </c>
      <c r="E529">
        <v>4</v>
      </c>
      <c r="F529" s="11">
        <v>43779</v>
      </c>
      <c r="G529">
        <f>_xlfn.XLOOKUP(Table2[[#This Row],[First_egg_lay_date]],'19-20_niwa_temp_data'!B:B,'19-20_niwa_temp_data'!G:G, "No Match")</f>
        <v>17.618172436436193</v>
      </c>
      <c r="H529">
        <v>4</v>
      </c>
      <c r="I529" s="11">
        <v>43782</v>
      </c>
      <c r="J529">
        <f>_xlfn.XLOOKUP(Table2[[#This Row],[Nest_box_ID]],Sheet1!A:A,Sheet1!L:L, "No Match")</f>
        <v>0</v>
      </c>
      <c r="K529" s="11">
        <v>43796</v>
      </c>
      <c r="L529">
        <f>_xlfn.XLOOKUP(Table2[[#This Row],[Nest_box_ID]],Sheet1!A:A,Sheet1!K:K, "No Match")</f>
        <v>14</v>
      </c>
      <c r="M529" s="11">
        <v>43795</v>
      </c>
      <c r="N529" s="16">
        <v>0.60769675925925926</v>
      </c>
      <c r="O529">
        <v>13</v>
      </c>
      <c r="P529">
        <v>19</v>
      </c>
      <c r="Q529" t="s">
        <v>319</v>
      </c>
      <c r="R529">
        <v>298</v>
      </c>
      <c r="S529">
        <f>_xlfn.XLOOKUP(Table2[[#This Row],[Obs_date]],'19-20_niwa_temp_data'!B:B,'19-20_niwa_temp_data'!G:G, "N/A")</f>
        <v>16.664933243190625</v>
      </c>
      <c r="T529">
        <f>_xlfn.XLOOKUP(Table2[[#This Row],[First_egg_lay_date]],'19-20_niwa_temp_data'!B:B,'19-20_niwa_temp_data'!G:G, "No Match")</f>
        <v>17.618172436436193</v>
      </c>
    </row>
    <row r="530" spans="1:20" hidden="1" x14ac:dyDescent="0.35">
      <c r="A530" t="s">
        <v>9</v>
      </c>
      <c r="B530" t="s">
        <v>39</v>
      </c>
      <c r="C530" s="3" t="s">
        <v>128</v>
      </c>
      <c r="D530" t="str">
        <f>_xlfn.XLOOKUP(Table2[[#This Row],[Female_ID ]],'19-20_female_cohort'!I:I,'19-20_female_cohort'!H:H, "No Match")</f>
        <v>2015/2016</v>
      </c>
      <c r="E530">
        <v>4</v>
      </c>
      <c r="F530" s="11">
        <v>43779</v>
      </c>
      <c r="G530">
        <f>_xlfn.XLOOKUP(Table2[[#This Row],[First_egg_lay_date]],'19-20_niwa_temp_data'!B:B,'19-20_niwa_temp_data'!G:G, "No Match")</f>
        <v>17.618172436436193</v>
      </c>
      <c r="H530">
        <v>4</v>
      </c>
      <c r="I530" s="11">
        <v>43782</v>
      </c>
      <c r="J530">
        <f>_xlfn.XLOOKUP(Table2[[#This Row],[Nest_box_ID]],Sheet1!A:A,Sheet1!L:L, "No Match")</f>
        <v>0</v>
      </c>
      <c r="K530" s="11">
        <v>43796</v>
      </c>
      <c r="L530">
        <f>_xlfn.XLOOKUP(Table2[[#This Row],[Nest_box_ID]],Sheet1!A:A,Sheet1!K:K, "No Match")</f>
        <v>14</v>
      </c>
      <c r="M530" s="11">
        <v>43795</v>
      </c>
      <c r="N530" s="16">
        <v>0.61114583333333339</v>
      </c>
      <c r="O530">
        <v>13</v>
      </c>
      <c r="P530">
        <v>19</v>
      </c>
      <c r="Q530" t="s">
        <v>320</v>
      </c>
      <c r="R530">
        <v>323</v>
      </c>
      <c r="S530">
        <f>_xlfn.XLOOKUP(Table2[[#This Row],[Obs_date]],'19-20_niwa_temp_data'!B:B,'19-20_niwa_temp_data'!G:G, "N/A")</f>
        <v>16.664933243190625</v>
      </c>
      <c r="T530">
        <f>_xlfn.XLOOKUP(Table2[[#This Row],[First_egg_lay_date]],'19-20_niwa_temp_data'!B:B,'19-20_niwa_temp_data'!G:G, "No Match")</f>
        <v>17.618172436436193</v>
      </c>
    </row>
    <row r="531" spans="1:20" x14ac:dyDescent="0.35">
      <c r="A531" t="s">
        <v>9</v>
      </c>
      <c r="B531" t="s">
        <v>39</v>
      </c>
      <c r="C531" s="3" t="s">
        <v>128</v>
      </c>
      <c r="D531" t="str">
        <f>_xlfn.XLOOKUP(Table2[[#This Row],[Female_ID ]],'19-20_female_cohort'!I:I,'19-20_female_cohort'!H:H, "No Match")</f>
        <v>2015/2016</v>
      </c>
      <c r="E531">
        <v>4</v>
      </c>
      <c r="F531" s="11">
        <v>43779</v>
      </c>
      <c r="G531">
        <f>_xlfn.XLOOKUP(Table2[[#This Row],[First_egg_lay_date]],'19-20_niwa_temp_data'!B:B,'19-20_niwa_temp_data'!G:G, "No Match")</f>
        <v>17.618172436436193</v>
      </c>
      <c r="H531">
        <v>4</v>
      </c>
      <c r="I531" s="11">
        <v>43782</v>
      </c>
      <c r="J531">
        <f>_xlfn.XLOOKUP(Table2[[#This Row],[Nest_box_ID]],Sheet1!A:A,Sheet1!L:L, "No Match")</f>
        <v>0</v>
      </c>
      <c r="K531" s="11">
        <v>43796</v>
      </c>
      <c r="L531">
        <f>_xlfn.XLOOKUP(Table2[[#This Row],[Nest_box_ID]],Sheet1!A:A,Sheet1!K:K, "No Match")</f>
        <v>14</v>
      </c>
      <c r="M531" s="11">
        <v>43795</v>
      </c>
      <c r="N531" s="16">
        <v>0.61488425925925927</v>
      </c>
      <c r="O531">
        <v>13</v>
      </c>
      <c r="P531">
        <v>19</v>
      </c>
      <c r="Q531" t="s">
        <v>319</v>
      </c>
      <c r="R531">
        <v>252</v>
      </c>
      <c r="S531">
        <f>_xlfn.XLOOKUP(Table2[[#This Row],[Obs_date]],'19-20_niwa_temp_data'!B:B,'19-20_niwa_temp_data'!G:G, "N/A")</f>
        <v>16.664933243190625</v>
      </c>
      <c r="T531">
        <f>_xlfn.XLOOKUP(Table2[[#This Row],[First_egg_lay_date]],'19-20_niwa_temp_data'!B:B,'19-20_niwa_temp_data'!G:G, "No Match")</f>
        <v>17.618172436436193</v>
      </c>
    </row>
    <row r="532" spans="1:20" hidden="1" x14ac:dyDescent="0.35">
      <c r="A532" t="s">
        <v>9</v>
      </c>
      <c r="B532" t="s">
        <v>39</v>
      </c>
      <c r="C532" s="3" t="s">
        <v>128</v>
      </c>
      <c r="D532" t="str">
        <f>_xlfn.XLOOKUP(Table2[[#This Row],[Female_ID ]],'19-20_female_cohort'!I:I,'19-20_female_cohort'!H:H, "No Match")</f>
        <v>2015/2016</v>
      </c>
      <c r="E532">
        <v>4</v>
      </c>
      <c r="F532" s="11">
        <v>43779</v>
      </c>
      <c r="G532">
        <f>_xlfn.XLOOKUP(Table2[[#This Row],[First_egg_lay_date]],'19-20_niwa_temp_data'!B:B,'19-20_niwa_temp_data'!G:G, "No Match")</f>
        <v>17.618172436436193</v>
      </c>
      <c r="H532">
        <v>4</v>
      </c>
      <c r="I532" s="11">
        <v>43782</v>
      </c>
      <c r="J532">
        <f>_xlfn.XLOOKUP(Table2[[#This Row],[Nest_box_ID]],Sheet1!A:A,Sheet1!L:L, "No Match")</f>
        <v>0</v>
      </c>
      <c r="K532" s="11">
        <v>43796</v>
      </c>
      <c r="L532">
        <f>_xlfn.XLOOKUP(Table2[[#This Row],[Nest_box_ID]],Sheet1!A:A,Sheet1!K:K, "No Match")</f>
        <v>14</v>
      </c>
      <c r="M532" s="11">
        <v>43795</v>
      </c>
      <c r="N532" s="16">
        <v>0.61780092592592595</v>
      </c>
      <c r="O532">
        <v>13</v>
      </c>
      <c r="P532">
        <v>19</v>
      </c>
      <c r="Q532" t="s">
        <v>320</v>
      </c>
      <c r="R532">
        <v>290</v>
      </c>
      <c r="S532">
        <f>_xlfn.XLOOKUP(Table2[[#This Row],[Obs_date]],'19-20_niwa_temp_data'!B:B,'19-20_niwa_temp_data'!G:G, "N/A")</f>
        <v>16.664933243190625</v>
      </c>
      <c r="T532">
        <f>_xlfn.XLOOKUP(Table2[[#This Row],[First_egg_lay_date]],'19-20_niwa_temp_data'!B:B,'19-20_niwa_temp_data'!G:G, "No Match")</f>
        <v>17.618172436436193</v>
      </c>
    </row>
    <row r="533" spans="1:20" x14ac:dyDescent="0.35">
      <c r="A533" t="s">
        <v>9</v>
      </c>
      <c r="B533" t="s">
        <v>39</v>
      </c>
      <c r="C533" s="3" t="s">
        <v>128</v>
      </c>
      <c r="D533" t="str">
        <f>_xlfn.XLOOKUP(Table2[[#This Row],[Female_ID ]],'19-20_female_cohort'!I:I,'19-20_female_cohort'!H:H, "No Match")</f>
        <v>2015/2016</v>
      </c>
      <c r="E533">
        <v>4</v>
      </c>
      <c r="F533" s="11">
        <v>43779</v>
      </c>
      <c r="G533">
        <f>_xlfn.XLOOKUP(Table2[[#This Row],[First_egg_lay_date]],'19-20_niwa_temp_data'!B:B,'19-20_niwa_temp_data'!G:G, "No Match")</f>
        <v>17.618172436436193</v>
      </c>
      <c r="H533">
        <v>4</v>
      </c>
      <c r="I533" s="11">
        <v>43782</v>
      </c>
      <c r="J533">
        <f>_xlfn.XLOOKUP(Table2[[#This Row],[Nest_box_ID]],Sheet1!A:A,Sheet1!L:L, "No Match")</f>
        <v>0</v>
      </c>
      <c r="K533" s="11">
        <v>43796</v>
      </c>
      <c r="L533">
        <f>_xlfn.XLOOKUP(Table2[[#This Row],[Nest_box_ID]],Sheet1!A:A,Sheet1!K:K, "No Match")</f>
        <v>14</v>
      </c>
      <c r="M533" s="11">
        <v>43795</v>
      </c>
      <c r="N533" s="16">
        <v>0.62115740740740744</v>
      </c>
      <c r="O533">
        <v>13</v>
      </c>
      <c r="P533">
        <v>19</v>
      </c>
      <c r="Q533" t="s">
        <v>319</v>
      </c>
      <c r="R533">
        <v>507</v>
      </c>
      <c r="S533">
        <f>_xlfn.XLOOKUP(Table2[[#This Row],[Obs_date]],'19-20_niwa_temp_data'!B:B,'19-20_niwa_temp_data'!G:G, "N/A")</f>
        <v>16.664933243190625</v>
      </c>
      <c r="T533">
        <f>_xlfn.XLOOKUP(Table2[[#This Row],[First_egg_lay_date]],'19-20_niwa_temp_data'!B:B,'19-20_niwa_temp_data'!G:G, "No Match")</f>
        <v>17.618172436436193</v>
      </c>
    </row>
    <row r="534" spans="1:20" hidden="1" x14ac:dyDescent="0.35">
      <c r="A534" t="s">
        <v>9</v>
      </c>
      <c r="B534" t="s">
        <v>39</v>
      </c>
      <c r="C534" s="3" t="s">
        <v>128</v>
      </c>
      <c r="D534" t="str">
        <f>_xlfn.XLOOKUP(Table2[[#This Row],[Female_ID ]],'19-20_female_cohort'!I:I,'19-20_female_cohort'!H:H, "No Match")</f>
        <v>2015/2016</v>
      </c>
      <c r="E534">
        <v>4</v>
      </c>
      <c r="F534" s="11">
        <v>43779</v>
      </c>
      <c r="G534">
        <f>_xlfn.XLOOKUP(Table2[[#This Row],[First_egg_lay_date]],'19-20_niwa_temp_data'!B:B,'19-20_niwa_temp_data'!G:G, "No Match")</f>
        <v>17.618172436436193</v>
      </c>
      <c r="H534">
        <v>4</v>
      </c>
      <c r="I534" s="11">
        <v>43782</v>
      </c>
      <c r="J534">
        <f>_xlfn.XLOOKUP(Table2[[#This Row],[Nest_box_ID]],Sheet1!A:A,Sheet1!L:L, "No Match")</f>
        <v>0</v>
      </c>
      <c r="K534" s="11">
        <v>43796</v>
      </c>
      <c r="L534">
        <f>_xlfn.XLOOKUP(Table2[[#This Row],[Nest_box_ID]],Sheet1!A:A,Sheet1!K:K, "No Match")</f>
        <v>14</v>
      </c>
      <c r="M534" s="11">
        <v>43795</v>
      </c>
      <c r="N534" s="16">
        <v>0.62702546296296291</v>
      </c>
      <c r="O534">
        <v>13</v>
      </c>
      <c r="P534">
        <v>19</v>
      </c>
      <c r="Q534" t="s">
        <v>320</v>
      </c>
      <c r="R534" t="s">
        <v>254</v>
      </c>
      <c r="S534">
        <f>_xlfn.XLOOKUP(Table2[[#This Row],[Obs_date]],'19-20_niwa_temp_data'!B:B,'19-20_niwa_temp_data'!G:G, "N/A")</f>
        <v>16.664933243190625</v>
      </c>
      <c r="T534">
        <f>_xlfn.XLOOKUP(Table2[[#This Row],[First_egg_lay_date]],'19-20_niwa_temp_data'!B:B,'19-20_niwa_temp_data'!G:G, "No Match")</f>
        <v>17.618172436436193</v>
      </c>
    </row>
    <row r="535" spans="1:20" x14ac:dyDescent="0.35">
      <c r="A535" t="s">
        <v>9</v>
      </c>
      <c r="B535" t="s">
        <v>34</v>
      </c>
      <c r="C535" s="3" t="s">
        <v>123</v>
      </c>
      <c r="D535" t="str">
        <f>_xlfn.XLOOKUP(Table2[[#This Row],[Female_ID ]],'19-20_female_cohort'!I:I,'19-20_female_cohort'!H:H, "No Match")</f>
        <v>2018/2019</v>
      </c>
      <c r="E535">
        <v>1</v>
      </c>
      <c r="F535" s="11">
        <v>43778</v>
      </c>
      <c r="G535">
        <f>_xlfn.XLOOKUP(Table2[[#This Row],[First_egg_lay_date]],'19-20_niwa_temp_data'!B:B,'19-20_niwa_temp_data'!G:G, "No Match")</f>
        <v>17.764290022401685</v>
      </c>
      <c r="H535">
        <v>4</v>
      </c>
      <c r="I535" s="11">
        <v>43781</v>
      </c>
      <c r="J535">
        <f>_xlfn.XLOOKUP(Table2[[#This Row],[Nest_box_ID]],Sheet1!A:A,Sheet1!L:L, "No Match")</f>
        <v>0</v>
      </c>
      <c r="K535" s="11">
        <v>43796</v>
      </c>
      <c r="L535">
        <f>_xlfn.XLOOKUP(Table2[[#This Row],[Nest_box_ID]],Sheet1!A:A,Sheet1!K:K, "No Match")</f>
        <v>15</v>
      </c>
      <c r="M535" s="11">
        <v>43782</v>
      </c>
      <c r="N535" s="16">
        <v>0.63761574074074079</v>
      </c>
      <c r="O535">
        <v>1</v>
      </c>
      <c r="P535">
        <v>73</v>
      </c>
      <c r="Q535" t="s">
        <v>319</v>
      </c>
      <c r="R535">
        <v>30</v>
      </c>
      <c r="S535">
        <f>_xlfn.XLOOKUP(Table2[[#This Row],[Obs_date]],'19-20_niwa_temp_data'!B:B,'19-20_niwa_temp_data'!G:G, "N/A")</f>
        <v>11.944873377311289</v>
      </c>
      <c r="T535">
        <f>_xlfn.XLOOKUP(Table2[[#This Row],[First_egg_lay_date]],'19-20_niwa_temp_data'!B:B,'19-20_niwa_temp_data'!G:G, "No Match")</f>
        <v>17.764290022401685</v>
      </c>
    </row>
    <row r="536" spans="1:20" hidden="1" x14ac:dyDescent="0.35">
      <c r="A536" t="s">
        <v>9</v>
      </c>
      <c r="B536" t="s">
        <v>34</v>
      </c>
      <c r="C536" s="3" t="s">
        <v>123</v>
      </c>
      <c r="D536" t="str">
        <f>_xlfn.XLOOKUP(Table2[[#This Row],[Female_ID ]],'19-20_female_cohort'!I:I,'19-20_female_cohort'!H:H, "No Match")</f>
        <v>2018/2019</v>
      </c>
      <c r="E536">
        <v>1</v>
      </c>
      <c r="F536" s="11">
        <v>43778</v>
      </c>
      <c r="G536">
        <f>_xlfn.XLOOKUP(Table2[[#This Row],[First_egg_lay_date]],'19-20_niwa_temp_data'!B:B,'19-20_niwa_temp_data'!G:G, "No Match")</f>
        <v>17.764290022401685</v>
      </c>
      <c r="H536">
        <v>4</v>
      </c>
      <c r="I536" s="11">
        <v>43781</v>
      </c>
      <c r="J536">
        <f>_xlfn.XLOOKUP(Table2[[#This Row],[Nest_box_ID]],Sheet1!A:A,Sheet1!L:L, "No Match")</f>
        <v>0</v>
      </c>
      <c r="K536" s="11">
        <v>43796</v>
      </c>
      <c r="L536">
        <f>_xlfn.XLOOKUP(Table2[[#This Row],[Nest_box_ID]],Sheet1!A:A,Sheet1!K:K, "No Match")</f>
        <v>15</v>
      </c>
      <c r="M536" s="11">
        <v>43782</v>
      </c>
      <c r="N536" s="16">
        <v>0.63796296296296295</v>
      </c>
      <c r="O536">
        <v>1</v>
      </c>
      <c r="P536">
        <v>73</v>
      </c>
      <c r="Q536" t="s">
        <v>320</v>
      </c>
      <c r="R536">
        <v>399</v>
      </c>
      <c r="S536">
        <f>_xlfn.XLOOKUP(Table2[[#This Row],[Obs_date]],'19-20_niwa_temp_data'!B:B,'19-20_niwa_temp_data'!G:G, "N/A")</f>
        <v>11.944873377311289</v>
      </c>
      <c r="T536">
        <f>_xlfn.XLOOKUP(Table2[[#This Row],[First_egg_lay_date]],'19-20_niwa_temp_data'!B:B,'19-20_niwa_temp_data'!G:G, "No Match")</f>
        <v>17.764290022401685</v>
      </c>
    </row>
    <row r="537" spans="1:20" x14ac:dyDescent="0.35">
      <c r="A537" t="s">
        <v>9</v>
      </c>
      <c r="B537" t="s">
        <v>34</v>
      </c>
      <c r="C537" s="3" t="s">
        <v>123</v>
      </c>
      <c r="D537" t="str">
        <f>_xlfn.XLOOKUP(Table2[[#This Row],[Female_ID ]],'19-20_female_cohort'!I:I,'19-20_female_cohort'!H:H, "No Match")</f>
        <v>2018/2019</v>
      </c>
      <c r="E537">
        <v>1</v>
      </c>
      <c r="F537" s="11">
        <v>43778</v>
      </c>
      <c r="G537">
        <f>_xlfn.XLOOKUP(Table2[[#This Row],[First_egg_lay_date]],'19-20_niwa_temp_data'!B:B,'19-20_niwa_temp_data'!G:G, "No Match")</f>
        <v>17.764290022401685</v>
      </c>
      <c r="H537">
        <v>4</v>
      </c>
      <c r="I537" s="11">
        <v>43781</v>
      </c>
      <c r="J537">
        <f>_xlfn.XLOOKUP(Table2[[#This Row],[Nest_box_ID]],Sheet1!A:A,Sheet1!L:L, "No Match")</f>
        <v>0</v>
      </c>
      <c r="K537" s="11">
        <v>43796</v>
      </c>
      <c r="L537">
        <f>_xlfn.XLOOKUP(Table2[[#This Row],[Nest_box_ID]],Sheet1!A:A,Sheet1!K:K, "No Match")</f>
        <v>15</v>
      </c>
      <c r="M537" s="11">
        <v>43782</v>
      </c>
      <c r="N537" s="16">
        <v>0.64258101851851857</v>
      </c>
      <c r="O537">
        <v>1</v>
      </c>
      <c r="P537">
        <v>73</v>
      </c>
      <c r="Q537" t="s">
        <v>319</v>
      </c>
      <c r="R537">
        <v>309</v>
      </c>
      <c r="S537">
        <f>_xlfn.XLOOKUP(Table2[[#This Row],[Obs_date]],'19-20_niwa_temp_data'!B:B,'19-20_niwa_temp_data'!G:G, "N/A")</f>
        <v>11.944873377311289</v>
      </c>
      <c r="T537">
        <f>_xlfn.XLOOKUP(Table2[[#This Row],[First_egg_lay_date]],'19-20_niwa_temp_data'!B:B,'19-20_niwa_temp_data'!G:G, "No Match")</f>
        <v>17.764290022401685</v>
      </c>
    </row>
    <row r="538" spans="1:20" hidden="1" x14ac:dyDescent="0.35">
      <c r="A538" t="s">
        <v>9</v>
      </c>
      <c r="B538" t="s">
        <v>34</v>
      </c>
      <c r="C538" s="3" t="s">
        <v>123</v>
      </c>
      <c r="D538" t="str">
        <f>_xlfn.XLOOKUP(Table2[[#This Row],[Female_ID ]],'19-20_female_cohort'!I:I,'19-20_female_cohort'!H:H, "No Match")</f>
        <v>2018/2019</v>
      </c>
      <c r="E538">
        <v>1</v>
      </c>
      <c r="F538" s="11">
        <v>43778</v>
      </c>
      <c r="G538">
        <f>_xlfn.XLOOKUP(Table2[[#This Row],[First_egg_lay_date]],'19-20_niwa_temp_data'!B:B,'19-20_niwa_temp_data'!G:G, "No Match")</f>
        <v>17.764290022401685</v>
      </c>
      <c r="H538">
        <v>4</v>
      </c>
      <c r="I538" s="11">
        <v>43781</v>
      </c>
      <c r="J538">
        <f>_xlfn.XLOOKUP(Table2[[#This Row],[Nest_box_ID]],Sheet1!A:A,Sheet1!L:L, "No Match")</f>
        <v>0</v>
      </c>
      <c r="K538" s="11">
        <v>43796</v>
      </c>
      <c r="L538">
        <f>_xlfn.XLOOKUP(Table2[[#This Row],[Nest_box_ID]],Sheet1!A:A,Sheet1!K:K, "No Match")</f>
        <v>15</v>
      </c>
      <c r="M538" s="11">
        <v>43782</v>
      </c>
      <c r="N538" s="16">
        <v>0.64615740740740746</v>
      </c>
      <c r="O538">
        <v>1</v>
      </c>
      <c r="P538">
        <v>73</v>
      </c>
      <c r="Q538" t="s">
        <v>320</v>
      </c>
      <c r="R538">
        <v>1550</v>
      </c>
      <c r="S538">
        <f>_xlfn.XLOOKUP(Table2[[#This Row],[Obs_date]],'19-20_niwa_temp_data'!B:B,'19-20_niwa_temp_data'!G:G, "N/A")</f>
        <v>11.944873377311289</v>
      </c>
      <c r="T538">
        <f>_xlfn.XLOOKUP(Table2[[#This Row],[First_egg_lay_date]],'19-20_niwa_temp_data'!B:B,'19-20_niwa_temp_data'!G:G, "No Match")</f>
        <v>17.764290022401685</v>
      </c>
    </row>
    <row r="539" spans="1:20" x14ac:dyDescent="0.35">
      <c r="A539" t="s">
        <v>9</v>
      </c>
      <c r="B539" t="s">
        <v>34</v>
      </c>
      <c r="C539" s="3" t="s">
        <v>123</v>
      </c>
      <c r="D539" t="str">
        <f>_xlfn.XLOOKUP(Table2[[#This Row],[Female_ID ]],'19-20_female_cohort'!I:I,'19-20_female_cohort'!H:H, "No Match")</f>
        <v>2018/2019</v>
      </c>
      <c r="E539">
        <v>1</v>
      </c>
      <c r="F539" s="11">
        <v>43778</v>
      </c>
      <c r="G539">
        <f>_xlfn.XLOOKUP(Table2[[#This Row],[First_egg_lay_date]],'19-20_niwa_temp_data'!B:B,'19-20_niwa_temp_data'!G:G, "No Match")</f>
        <v>17.764290022401685</v>
      </c>
      <c r="H539">
        <v>4</v>
      </c>
      <c r="I539" s="11">
        <v>43781</v>
      </c>
      <c r="J539">
        <f>_xlfn.XLOOKUP(Table2[[#This Row],[Nest_box_ID]],Sheet1!A:A,Sheet1!L:L, "No Match")</f>
        <v>0</v>
      </c>
      <c r="K539" s="11">
        <v>43796</v>
      </c>
      <c r="L539">
        <f>_xlfn.XLOOKUP(Table2[[#This Row],[Nest_box_ID]],Sheet1!A:A,Sheet1!K:K, "No Match")</f>
        <v>15</v>
      </c>
      <c r="M539" s="11">
        <v>43782</v>
      </c>
      <c r="N539" s="16">
        <v>0.66409722222222223</v>
      </c>
      <c r="O539">
        <v>1</v>
      </c>
      <c r="P539">
        <v>73</v>
      </c>
      <c r="Q539" t="s">
        <v>319</v>
      </c>
      <c r="R539">
        <v>52</v>
      </c>
      <c r="S539">
        <f>_xlfn.XLOOKUP(Table2[[#This Row],[Obs_date]],'19-20_niwa_temp_data'!B:B,'19-20_niwa_temp_data'!G:G, "N/A")</f>
        <v>11.944873377311289</v>
      </c>
      <c r="T539">
        <f>_xlfn.XLOOKUP(Table2[[#This Row],[First_egg_lay_date]],'19-20_niwa_temp_data'!B:B,'19-20_niwa_temp_data'!G:G, "No Match")</f>
        <v>17.764290022401685</v>
      </c>
    </row>
    <row r="540" spans="1:20" hidden="1" x14ac:dyDescent="0.35">
      <c r="A540" t="s">
        <v>9</v>
      </c>
      <c r="B540" t="s">
        <v>34</v>
      </c>
      <c r="C540" s="3" t="s">
        <v>123</v>
      </c>
      <c r="D540" t="str">
        <f>_xlfn.XLOOKUP(Table2[[#This Row],[Female_ID ]],'19-20_female_cohort'!I:I,'19-20_female_cohort'!H:H, "No Match")</f>
        <v>2018/2019</v>
      </c>
      <c r="E540">
        <v>1</v>
      </c>
      <c r="F540" s="11">
        <v>43778</v>
      </c>
      <c r="G540">
        <f>_xlfn.XLOOKUP(Table2[[#This Row],[First_egg_lay_date]],'19-20_niwa_temp_data'!B:B,'19-20_niwa_temp_data'!G:G, "No Match")</f>
        <v>17.764290022401685</v>
      </c>
      <c r="H540">
        <v>4</v>
      </c>
      <c r="I540" s="11">
        <v>43781</v>
      </c>
      <c r="J540">
        <f>_xlfn.XLOOKUP(Table2[[#This Row],[Nest_box_ID]],Sheet1!A:A,Sheet1!L:L, "No Match")</f>
        <v>0</v>
      </c>
      <c r="K540" s="11">
        <v>43796</v>
      </c>
      <c r="L540">
        <f>_xlfn.XLOOKUP(Table2[[#This Row],[Nest_box_ID]],Sheet1!A:A,Sheet1!K:K, "No Match")</f>
        <v>15</v>
      </c>
      <c r="M540" s="11">
        <v>43782</v>
      </c>
      <c r="N540" s="16">
        <v>0.66469907407407403</v>
      </c>
      <c r="O540">
        <v>1</v>
      </c>
      <c r="P540">
        <v>73</v>
      </c>
      <c r="Q540" t="s">
        <v>320</v>
      </c>
      <c r="R540">
        <v>200</v>
      </c>
      <c r="S540">
        <f>_xlfn.XLOOKUP(Table2[[#This Row],[Obs_date]],'19-20_niwa_temp_data'!B:B,'19-20_niwa_temp_data'!G:G, "N/A")</f>
        <v>11.944873377311289</v>
      </c>
      <c r="T540">
        <f>_xlfn.XLOOKUP(Table2[[#This Row],[First_egg_lay_date]],'19-20_niwa_temp_data'!B:B,'19-20_niwa_temp_data'!G:G, "No Match")</f>
        <v>17.764290022401685</v>
      </c>
    </row>
    <row r="541" spans="1:20" x14ac:dyDescent="0.35">
      <c r="A541" t="s">
        <v>9</v>
      </c>
      <c r="B541" t="s">
        <v>34</v>
      </c>
      <c r="C541" s="3" t="s">
        <v>123</v>
      </c>
      <c r="D541" t="str">
        <f>_xlfn.XLOOKUP(Table2[[#This Row],[Female_ID ]],'19-20_female_cohort'!I:I,'19-20_female_cohort'!H:H, "No Match")</f>
        <v>2018/2019</v>
      </c>
      <c r="E541">
        <v>1</v>
      </c>
      <c r="F541" s="11">
        <v>43778</v>
      </c>
      <c r="G541">
        <f>_xlfn.XLOOKUP(Table2[[#This Row],[First_egg_lay_date]],'19-20_niwa_temp_data'!B:B,'19-20_niwa_temp_data'!G:G, "No Match")</f>
        <v>17.764290022401685</v>
      </c>
      <c r="H541">
        <v>4</v>
      </c>
      <c r="I541" s="11">
        <v>43781</v>
      </c>
      <c r="J541">
        <f>_xlfn.XLOOKUP(Table2[[#This Row],[Nest_box_ID]],Sheet1!A:A,Sheet1!L:L, "No Match")</f>
        <v>0</v>
      </c>
      <c r="K541" s="11">
        <v>43796</v>
      </c>
      <c r="L541">
        <f>_xlfn.XLOOKUP(Table2[[#This Row],[Nest_box_ID]],Sheet1!A:A,Sheet1!K:K, "No Match")</f>
        <v>15</v>
      </c>
      <c r="M541" s="11">
        <v>43782</v>
      </c>
      <c r="N541" s="16">
        <v>0.66701388888888891</v>
      </c>
      <c r="O541">
        <v>1</v>
      </c>
      <c r="P541">
        <v>73</v>
      </c>
      <c r="Q541" t="s">
        <v>319</v>
      </c>
      <c r="R541">
        <v>222</v>
      </c>
      <c r="S541">
        <f>_xlfn.XLOOKUP(Table2[[#This Row],[Obs_date]],'19-20_niwa_temp_data'!B:B,'19-20_niwa_temp_data'!G:G, "N/A")</f>
        <v>11.944873377311289</v>
      </c>
      <c r="T541">
        <f>_xlfn.XLOOKUP(Table2[[#This Row],[First_egg_lay_date]],'19-20_niwa_temp_data'!B:B,'19-20_niwa_temp_data'!G:G, "No Match")</f>
        <v>17.764290022401685</v>
      </c>
    </row>
    <row r="542" spans="1:20" hidden="1" x14ac:dyDescent="0.35">
      <c r="A542" t="s">
        <v>9</v>
      </c>
      <c r="B542" t="s">
        <v>34</v>
      </c>
      <c r="C542" s="3" t="s">
        <v>123</v>
      </c>
      <c r="D542" t="str">
        <f>_xlfn.XLOOKUP(Table2[[#This Row],[Female_ID ]],'19-20_female_cohort'!I:I,'19-20_female_cohort'!H:H, "No Match")</f>
        <v>2018/2019</v>
      </c>
      <c r="E542">
        <v>1</v>
      </c>
      <c r="F542" s="11">
        <v>43778</v>
      </c>
      <c r="G542">
        <f>_xlfn.XLOOKUP(Table2[[#This Row],[First_egg_lay_date]],'19-20_niwa_temp_data'!B:B,'19-20_niwa_temp_data'!G:G, "No Match")</f>
        <v>17.764290022401685</v>
      </c>
      <c r="H542">
        <v>4</v>
      </c>
      <c r="I542" s="11">
        <v>43781</v>
      </c>
      <c r="J542">
        <f>_xlfn.XLOOKUP(Table2[[#This Row],[Nest_box_ID]],Sheet1!A:A,Sheet1!L:L, "No Match")</f>
        <v>0</v>
      </c>
      <c r="K542" s="11">
        <v>43796</v>
      </c>
      <c r="L542">
        <f>_xlfn.XLOOKUP(Table2[[#This Row],[Nest_box_ID]],Sheet1!A:A,Sheet1!K:K, "No Match")</f>
        <v>15</v>
      </c>
      <c r="M542" s="11">
        <v>43782</v>
      </c>
      <c r="N542" s="16">
        <v>0.66958333333333331</v>
      </c>
      <c r="O542">
        <v>1</v>
      </c>
      <c r="P542">
        <v>73</v>
      </c>
      <c r="Q542" t="s">
        <v>320</v>
      </c>
      <c r="R542">
        <v>1538</v>
      </c>
      <c r="S542">
        <f>_xlfn.XLOOKUP(Table2[[#This Row],[Obs_date]],'19-20_niwa_temp_data'!B:B,'19-20_niwa_temp_data'!G:G, "N/A")</f>
        <v>11.944873377311289</v>
      </c>
      <c r="T542">
        <f>_xlfn.XLOOKUP(Table2[[#This Row],[First_egg_lay_date]],'19-20_niwa_temp_data'!B:B,'19-20_niwa_temp_data'!G:G, "No Match")</f>
        <v>17.764290022401685</v>
      </c>
    </row>
    <row r="543" spans="1:20" hidden="1" x14ac:dyDescent="0.35">
      <c r="A543" t="s">
        <v>9</v>
      </c>
      <c r="B543" t="s">
        <v>34</v>
      </c>
      <c r="C543" s="3" t="s">
        <v>123</v>
      </c>
      <c r="D543" t="str">
        <f>_xlfn.XLOOKUP(Table2[[#This Row],[Female_ID ]],'19-20_female_cohort'!I:I,'19-20_female_cohort'!H:H, "No Match")</f>
        <v>2018/2019</v>
      </c>
      <c r="E543">
        <v>1</v>
      </c>
      <c r="F543" s="11">
        <v>43778</v>
      </c>
      <c r="G543">
        <f>_xlfn.XLOOKUP(Table2[[#This Row],[First_egg_lay_date]],'19-20_niwa_temp_data'!B:B,'19-20_niwa_temp_data'!G:G, "No Match")</f>
        <v>17.764290022401685</v>
      </c>
      <c r="H543">
        <v>4</v>
      </c>
      <c r="I543" s="11">
        <v>43781</v>
      </c>
      <c r="J543">
        <f>_xlfn.XLOOKUP(Table2[[#This Row],[Nest_box_ID]],Sheet1!A:A,Sheet1!L:L, "No Match")</f>
        <v>0</v>
      </c>
      <c r="K543" s="11">
        <v>43796</v>
      </c>
      <c r="L543">
        <f>_xlfn.XLOOKUP(Table2[[#This Row],[Nest_box_ID]],Sheet1!A:A,Sheet1!K:K, "No Match")</f>
        <v>15</v>
      </c>
      <c r="M543" s="11">
        <v>43782</v>
      </c>
      <c r="N543" s="16">
        <v>0.68738425925925928</v>
      </c>
      <c r="O543">
        <v>1</v>
      </c>
      <c r="P543">
        <v>73</v>
      </c>
      <c r="Q543" t="s">
        <v>319</v>
      </c>
      <c r="R543" t="s">
        <v>254</v>
      </c>
      <c r="S543">
        <f>_xlfn.XLOOKUP(Table2[[#This Row],[Obs_date]],'19-20_niwa_temp_data'!B:B,'19-20_niwa_temp_data'!G:G, "N/A")</f>
        <v>11.944873377311289</v>
      </c>
      <c r="T543">
        <f>_xlfn.XLOOKUP(Table2[[#This Row],[First_egg_lay_date]],'19-20_niwa_temp_data'!B:B,'19-20_niwa_temp_data'!G:G, "No Match")</f>
        <v>17.764290022401685</v>
      </c>
    </row>
    <row r="544" spans="1:20" x14ac:dyDescent="0.35">
      <c r="A544" t="s">
        <v>9</v>
      </c>
      <c r="B544" t="s">
        <v>34</v>
      </c>
      <c r="C544" s="3" t="s">
        <v>123</v>
      </c>
      <c r="D544" t="str">
        <f>_xlfn.XLOOKUP(Table2[[#This Row],[Female_ID ]],'19-20_female_cohort'!I:I,'19-20_female_cohort'!H:H, "No Match")</f>
        <v>2018/2019</v>
      </c>
      <c r="E544">
        <v>1</v>
      </c>
      <c r="F544" s="11">
        <v>43778</v>
      </c>
      <c r="G544">
        <f>_xlfn.XLOOKUP(Table2[[#This Row],[First_egg_lay_date]],'19-20_niwa_temp_data'!B:B,'19-20_niwa_temp_data'!G:G, "No Match")</f>
        <v>17.764290022401685</v>
      </c>
      <c r="H544">
        <v>4</v>
      </c>
      <c r="I544" s="11">
        <v>43781</v>
      </c>
      <c r="J544">
        <f>_xlfn.XLOOKUP(Table2[[#This Row],[Nest_box_ID]],Sheet1!A:A,Sheet1!L:L, "No Match")</f>
        <v>0</v>
      </c>
      <c r="K544" s="11">
        <v>43796</v>
      </c>
      <c r="L544">
        <f>_xlfn.XLOOKUP(Table2[[#This Row],[Nest_box_ID]],Sheet1!A:A,Sheet1!K:K, "No Match")</f>
        <v>15</v>
      </c>
      <c r="M544" s="11">
        <v>43790</v>
      </c>
      <c r="N544" s="16">
        <v>0.50332175925925926</v>
      </c>
      <c r="O544">
        <v>8</v>
      </c>
      <c r="P544">
        <v>56</v>
      </c>
      <c r="Q544" t="s">
        <v>319</v>
      </c>
      <c r="R544">
        <v>162</v>
      </c>
      <c r="S544">
        <f>_xlfn.XLOOKUP(Table2[[#This Row],[Obs_date]],'19-20_niwa_temp_data'!B:B,'19-20_niwa_temp_data'!G:G, "N/A")</f>
        <v>16.25176913446656</v>
      </c>
      <c r="T544">
        <f>_xlfn.XLOOKUP(Table2[[#This Row],[First_egg_lay_date]],'19-20_niwa_temp_data'!B:B,'19-20_niwa_temp_data'!G:G, "No Match")</f>
        <v>17.764290022401685</v>
      </c>
    </row>
    <row r="545" spans="1:20" hidden="1" x14ac:dyDescent="0.35">
      <c r="A545" t="s">
        <v>9</v>
      </c>
      <c r="B545" t="s">
        <v>34</v>
      </c>
      <c r="C545" s="3" t="s">
        <v>123</v>
      </c>
      <c r="D545" t="str">
        <f>_xlfn.XLOOKUP(Table2[[#This Row],[Female_ID ]],'19-20_female_cohort'!I:I,'19-20_female_cohort'!H:H, "No Match")</f>
        <v>2018/2019</v>
      </c>
      <c r="E545">
        <v>1</v>
      </c>
      <c r="F545" s="11">
        <v>43778</v>
      </c>
      <c r="G545">
        <f>_xlfn.XLOOKUP(Table2[[#This Row],[First_egg_lay_date]],'19-20_niwa_temp_data'!B:B,'19-20_niwa_temp_data'!G:G, "No Match")</f>
        <v>17.764290022401685</v>
      </c>
      <c r="H545">
        <v>4</v>
      </c>
      <c r="I545" s="11">
        <v>43781</v>
      </c>
      <c r="J545">
        <f>_xlfn.XLOOKUP(Table2[[#This Row],[Nest_box_ID]],Sheet1!A:A,Sheet1!L:L, "No Match")</f>
        <v>0</v>
      </c>
      <c r="K545" s="11">
        <v>43796</v>
      </c>
      <c r="L545">
        <f>_xlfn.XLOOKUP(Table2[[#This Row],[Nest_box_ID]],Sheet1!A:A,Sheet1!K:K, "No Match")</f>
        <v>15</v>
      </c>
      <c r="M545" s="11">
        <v>43790</v>
      </c>
      <c r="N545" s="16">
        <v>0.50519675925925922</v>
      </c>
      <c r="O545">
        <v>8</v>
      </c>
      <c r="P545">
        <v>56</v>
      </c>
      <c r="Q545" t="s">
        <v>320</v>
      </c>
      <c r="R545">
        <v>786</v>
      </c>
      <c r="S545">
        <f>_xlfn.XLOOKUP(Table2[[#This Row],[Obs_date]],'19-20_niwa_temp_data'!B:B,'19-20_niwa_temp_data'!G:G, "N/A")</f>
        <v>16.25176913446656</v>
      </c>
      <c r="T545">
        <f>_xlfn.XLOOKUP(Table2[[#This Row],[First_egg_lay_date]],'19-20_niwa_temp_data'!B:B,'19-20_niwa_temp_data'!G:G, "No Match")</f>
        <v>17.764290022401685</v>
      </c>
    </row>
    <row r="546" spans="1:20" x14ac:dyDescent="0.35">
      <c r="A546" t="s">
        <v>9</v>
      </c>
      <c r="B546" t="s">
        <v>34</v>
      </c>
      <c r="C546" s="3" t="s">
        <v>123</v>
      </c>
      <c r="D546" t="str">
        <f>_xlfn.XLOOKUP(Table2[[#This Row],[Female_ID ]],'19-20_female_cohort'!I:I,'19-20_female_cohort'!H:H, "No Match")</f>
        <v>2018/2019</v>
      </c>
      <c r="E546">
        <v>1</v>
      </c>
      <c r="F546" s="11">
        <v>43778</v>
      </c>
      <c r="G546">
        <f>_xlfn.XLOOKUP(Table2[[#This Row],[First_egg_lay_date]],'19-20_niwa_temp_data'!B:B,'19-20_niwa_temp_data'!G:G, "No Match")</f>
        <v>17.764290022401685</v>
      </c>
      <c r="H546">
        <v>4</v>
      </c>
      <c r="I546" s="11">
        <v>43781</v>
      </c>
      <c r="J546">
        <f>_xlfn.XLOOKUP(Table2[[#This Row],[Nest_box_ID]],Sheet1!A:A,Sheet1!L:L, "No Match")</f>
        <v>0</v>
      </c>
      <c r="K546" s="11">
        <v>43796</v>
      </c>
      <c r="L546">
        <f>_xlfn.XLOOKUP(Table2[[#This Row],[Nest_box_ID]],Sheet1!A:A,Sheet1!K:K, "No Match")</f>
        <v>15</v>
      </c>
      <c r="M546" s="11">
        <v>43790</v>
      </c>
      <c r="N546" s="16">
        <v>0.51429398148148153</v>
      </c>
      <c r="O546">
        <v>8</v>
      </c>
      <c r="P546">
        <v>56</v>
      </c>
      <c r="Q546" t="s">
        <v>319</v>
      </c>
      <c r="R546">
        <v>442</v>
      </c>
      <c r="S546">
        <f>_xlfn.XLOOKUP(Table2[[#This Row],[Obs_date]],'19-20_niwa_temp_data'!B:B,'19-20_niwa_temp_data'!G:G, "N/A")</f>
        <v>16.25176913446656</v>
      </c>
      <c r="T546">
        <f>_xlfn.XLOOKUP(Table2[[#This Row],[First_egg_lay_date]],'19-20_niwa_temp_data'!B:B,'19-20_niwa_temp_data'!G:G, "No Match")</f>
        <v>17.764290022401685</v>
      </c>
    </row>
    <row r="547" spans="1:20" hidden="1" x14ac:dyDescent="0.35">
      <c r="A547" t="s">
        <v>9</v>
      </c>
      <c r="B547" t="s">
        <v>34</v>
      </c>
      <c r="C547" s="3" t="s">
        <v>123</v>
      </c>
      <c r="D547" t="str">
        <f>_xlfn.XLOOKUP(Table2[[#This Row],[Female_ID ]],'19-20_female_cohort'!I:I,'19-20_female_cohort'!H:H, "No Match")</f>
        <v>2018/2019</v>
      </c>
      <c r="E547">
        <v>1</v>
      </c>
      <c r="F547" s="11">
        <v>43778</v>
      </c>
      <c r="G547">
        <f>_xlfn.XLOOKUP(Table2[[#This Row],[First_egg_lay_date]],'19-20_niwa_temp_data'!B:B,'19-20_niwa_temp_data'!G:G, "No Match")</f>
        <v>17.764290022401685</v>
      </c>
      <c r="H547">
        <v>4</v>
      </c>
      <c r="I547" s="11">
        <v>43781</v>
      </c>
      <c r="J547">
        <f>_xlfn.XLOOKUP(Table2[[#This Row],[Nest_box_ID]],Sheet1!A:A,Sheet1!L:L, "No Match")</f>
        <v>0</v>
      </c>
      <c r="K547" s="11">
        <v>43796</v>
      </c>
      <c r="L547">
        <f>_xlfn.XLOOKUP(Table2[[#This Row],[Nest_box_ID]],Sheet1!A:A,Sheet1!K:K, "No Match")</f>
        <v>15</v>
      </c>
      <c r="M547" s="11">
        <v>43790</v>
      </c>
      <c r="N547" s="16">
        <v>0.51940972222222226</v>
      </c>
      <c r="O547">
        <v>8</v>
      </c>
      <c r="P547">
        <v>56</v>
      </c>
      <c r="Q547" t="s">
        <v>320</v>
      </c>
      <c r="R547">
        <v>554</v>
      </c>
      <c r="S547">
        <f>_xlfn.XLOOKUP(Table2[[#This Row],[Obs_date]],'19-20_niwa_temp_data'!B:B,'19-20_niwa_temp_data'!G:G, "N/A")</f>
        <v>16.25176913446656</v>
      </c>
      <c r="T547">
        <f>_xlfn.XLOOKUP(Table2[[#This Row],[First_egg_lay_date]],'19-20_niwa_temp_data'!B:B,'19-20_niwa_temp_data'!G:G, "No Match")</f>
        <v>17.764290022401685</v>
      </c>
    </row>
    <row r="548" spans="1:20" x14ac:dyDescent="0.35">
      <c r="A548" t="s">
        <v>9</v>
      </c>
      <c r="B548" t="s">
        <v>34</v>
      </c>
      <c r="C548" s="3" t="s">
        <v>123</v>
      </c>
      <c r="D548" t="str">
        <f>_xlfn.XLOOKUP(Table2[[#This Row],[Female_ID ]],'19-20_female_cohort'!I:I,'19-20_female_cohort'!H:H, "No Match")</f>
        <v>2018/2019</v>
      </c>
      <c r="E548">
        <v>1</v>
      </c>
      <c r="F548" s="11">
        <v>43778</v>
      </c>
      <c r="G548">
        <f>_xlfn.XLOOKUP(Table2[[#This Row],[First_egg_lay_date]],'19-20_niwa_temp_data'!B:B,'19-20_niwa_temp_data'!G:G, "No Match")</f>
        <v>17.764290022401685</v>
      </c>
      <c r="H548">
        <v>4</v>
      </c>
      <c r="I548" s="11">
        <v>43781</v>
      </c>
      <c r="J548">
        <f>_xlfn.XLOOKUP(Table2[[#This Row],[Nest_box_ID]],Sheet1!A:A,Sheet1!L:L, "No Match")</f>
        <v>0</v>
      </c>
      <c r="K548" s="11">
        <v>43796</v>
      </c>
      <c r="L548">
        <f>_xlfn.XLOOKUP(Table2[[#This Row],[Nest_box_ID]],Sheet1!A:A,Sheet1!K:K, "No Match")</f>
        <v>15</v>
      </c>
      <c r="M548" s="11">
        <v>43790</v>
      </c>
      <c r="N548" s="16">
        <v>0.52582175925925922</v>
      </c>
      <c r="O548">
        <v>8</v>
      </c>
      <c r="P548">
        <v>56</v>
      </c>
      <c r="Q548" t="s">
        <v>319</v>
      </c>
      <c r="R548">
        <v>354</v>
      </c>
      <c r="S548">
        <f>_xlfn.XLOOKUP(Table2[[#This Row],[Obs_date]],'19-20_niwa_temp_data'!B:B,'19-20_niwa_temp_data'!G:G, "N/A")</f>
        <v>16.25176913446656</v>
      </c>
      <c r="T548">
        <f>_xlfn.XLOOKUP(Table2[[#This Row],[First_egg_lay_date]],'19-20_niwa_temp_data'!B:B,'19-20_niwa_temp_data'!G:G, "No Match")</f>
        <v>17.764290022401685</v>
      </c>
    </row>
    <row r="549" spans="1:20" hidden="1" x14ac:dyDescent="0.35">
      <c r="A549" t="s">
        <v>9</v>
      </c>
      <c r="B549" t="s">
        <v>34</v>
      </c>
      <c r="C549" s="3" t="s">
        <v>123</v>
      </c>
      <c r="D549" t="str">
        <f>_xlfn.XLOOKUP(Table2[[#This Row],[Female_ID ]],'19-20_female_cohort'!I:I,'19-20_female_cohort'!H:H, "No Match")</f>
        <v>2018/2019</v>
      </c>
      <c r="E549">
        <v>1</v>
      </c>
      <c r="F549" s="11">
        <v>43778</v>
      </c>
      <c r="G549">
        <f>_xlfn.XLOOKUP(Table2[[#This Row],[First_egg_lay_date]],'19-20_niwa_temp_data'!B:B,'19-20_niwa_temp_data'!G:G, "No Match")</f>
        <v>17.764290022401685</v>
      </c>
      <c r="H549">
        <v>4</v>
      </c>
      <c r="I549" s="11">
        <v>43781</v>
      </c>
      <c r="J549">
        <f>_xlfn.XLOOKUP(Table2[[#This Row],[Nest_box_ID]],Sheet1!A:A,Sheet1!L:L, "No Match")</f>
        <v>0</v>
      </c>
      <c r="K549" s="11">
        <v>43796</v>
      </c>
      <c r="L549">
        <f>_xlfn.XLOOKUP(Table2[[#This Row],[Nest_box_ID]],Sheet1!A:A,Sheet1!K:K, "No Match")</f>
        <v>15</v>
      </c>
      <c r="M549" s="11">
        <v>43790</v>
      </c>
      <c r="N549" s="16">
        <v>0.52991898148148153</v>
      </c>
      <c r="O549">
        <v>8</v>
      </c>
      <c r="P549">
        <v>56</v>
      </c>
      <c r="Q549" t="s">
        <v>320</v>
      </c>
      <c r="R549" t="s">
        <v>254</v>
      </c>
      <c r="S549">
        <f>_xlfn.XLOOKUP(Table2[[#This Row],[Obs_date]],'19-20_niwa_temp_data'!B:B,'19-20_niwa_temp_data'!G:G, "N/A")</f>
        <v>16.25176913446656</v>
      </c>
      <c r="T549">
        <f>_xlfn.XLOOKUP(Table2[[#This Row],[First_egg_lay_date]],'19-20_niwa_temp_data'!B:B,'19-20_niwa_temp_data'!G:G, "No Match")</f>
        <v>17.764290022401685</v>
      </c>
    </row>
    <row r="550" spans="1:20" x14ac:dyDescent="0.35">
      <c r="A550" t="s">
        <v>9</v>
      </c>
      <c r="B550" t="s">
        <v>51</v>
      </c>
      <c r="C550" s="3" t="s">
        <v>140</v>
      </c>
      <c r="D550" t="str">
        <f>_xlfn.XLOOKUP(Table2[[#This Row],[Female_ID ]],'19-20_female_cohort'!I:I,'19-20_female_cohort'!H:H, "No Match")</f>
        <v>2014/2015</v>
      </c>
      <c r="E550">
        <v>5</v>
      </c>
      <c r="F550" s="11">
        <v>43788</v>
      </c>
      <c r="G550">
        <f>_xlfn.XLOOKUP(Table2[[#This Row],[First_egg_lay_date]],'19-20_niwa_temp_data'!B:B,'19-20_niwa_temp_data'!G:G, "No Match")</f>
        <v>14.974979131871937</v>
      </c>
      <c r="H550">
        <v>4</v>
      </c>
      <c r="I550" s="11">
        <v>43791</v>
      </c>
      <c r="J550">
        <f>_xlfn.XLOOKUP(Table2[[#This Row],[Nest_box_ID]],Sheet1!A:A,Sheet1!L:L, "No Match")</f>
        <v>0</v>
      </c>
      <c r="K550" s="11">
        <v>43805</v>
      </c>
      <c r="L550">
        <f>_xlfn.XLOOKUP(Table2[[#This Row],[Nest_box_ID]],Sheet1!A:A,Sheet1!K:K, "No Match")</f>
        <v>14</v>
      </c>
      <c r="M550" s="11">
        <v>43792</v>
      </c>
      <c r="N550" s="16">
        <v>0.63068287037037041</v>
      </c>
      <c r="O550">
        <v>1</v>
      </c>
      <c r="P550">
        <v>65</v>
      </c>
      <c r="Q550" t="s">
        <v>319</v>
      </c>
      <c r="R550">
        <v>364</v>
      </c>
      <c r="S550">
        <f>_xlfn.XLOOKUP(Table2[[#This Row],[Obs_date]],'19-20_niwa_temp_data'!B:B,'19-20_niwa_temp_data'!G:G, "N/A")</f>
        <v>15.553777676178864</v>
      </c>
      <c r="T550">
        <f>_xlfn.XLOOKUP(Table2[[#This Row],[First_egg_lay_date]],'19-20_niwa_temp_data'!B:B,'19-20_niwa_temp_data'!G:G, "No Match")</f>
        <v>14.974979131871937</v>
      </c>
    </row>
    <row r="551" spans="1:20" hidden="1" x14ac:dyDescent="0.35">
      <c r="A551" t="s">
        <v>9</v>
      </c>
      <c r="B551" t="s">
        <v>51</v>
      </c>
      <c r="C551" s="3" t="s">
        <v>140</v>
      </c>
      <c r="D551" t="str">
        <f>_xlfn.XLOOKUP(Table2[[#This Row],[Female_ID ]],'19-20_female_cohort'!I:I,'19-20_female_cohort'!H:H, "No Match")</f>
        <v>2014/2015</v>
      </c>
      <c r="E551">
        <v>5</v>
      </c>
      <c r="F551" s="11">
        <v>43788</v>
      </c>
      <c r="G551">
        <f>_xlfn.XLOOKUP(Table2[[#This Row],[First_egg_lay_date]],'19-20_niwa_temp_data'!B:B,'19-20_niwa_temp_data'!G:G, "No Match")</f>
        <v>14.974979131871937</v>
      </c>
      <c r="H551">
        <v>4</v>
      </c>
      <c r="I551" s="11">
        <v>43791</v>
      </c>
      <c r="J551">
        <f>_xlfn.XLOOKUP(Table2[[#This Row],[Nest_box_ID]],Sheet1!A:A,Sheet1!L:L, "No Match")</f>
        <v>0</v>
      </c>
      <c r="K551" s="11">
        <v>43805</v>
      </c>
      <c r="L551">
        <f>_xlfn.XLOOKUP(Table2[[#This Row],[Nest_box_ID]],Sheet1!A:A,Sheet1!K:K, "No Match")</f>
        <v>14</v>
      </c>
      <c r="M551" s="11">
        <v>43792</v>
      </c>
      <c r="N551" s="16">
        <v>0.63489583333333333</v>
      </c>
      <c r="O551">
        <v>1</v>
      </c>
      <c r="P551">
        <v>65</v>
      </c>
      <c r="Q551" t="s">
        <v>320</v>
      </c>
      <c r="R551">
        <v>1797</v>
      </c>
      <c r="S551">
        <f>_xlfn.XLOOKUP(Table2[[#This Row],[Obs_date]],'19-20_niwa_temp_data'!B:B,'19-20_niwa_temp_data'!G:G, "N/A")</f>
        <v>15.553777676178864</v>
      </c>
      <c r="T551">
        <f>_xlfn.XLOOKUP(Table2[[#This Row],[First_egg_lay_date]],'19-20_niwa_temp_data'!B:B,'19-20_niwa_temp_data'!G:G, "No Match")</f>
        <v>14.974979131871937</v>
      </c>
    </row>
    <row r="552" spans="1:20" hidden="1" x14ac:dyDescent="0.35">
      <c r="A552" t="s">
        <v>9</v>
      </c>
      <c r="B552" t="s">
        <v>51</v>
      </c>
      <c r="C552" s="3" t="s">
        <v>140</v>
      </c>
      <c r="D552" t="str">
        <f>_xlfn.XLOOKUP(Table2[[#This Row],[Female_ID ]],'19-20_female_cohort'!I:I,'19-20_female_cohort'!H:H, "No Match")</f>
        <v>2014/2015</v>
      </c>
      <c r="E552">
        <v>5</v>
      </c>
      <c r="F552" s="11">
        <v>43788</v>
      </c>
      <c r="G552">
        <f>_xlfn.XLOOKUP(Table2[[#This Row],[First_egg_lay_date]],'19-20_niwa_temp_data'!B:B,'19-20_niwa_temp_data'!G:G, "No Match")</f>
        <v>14.974979131871937</v>
      </c>
      <c r="H552">
        <v>4</v>
      </c>
      <c r="I552" s="11">
        <v>43791</v>
      </c>
      <c r="J552">
        <f>_xlfn.XLOOKUP(Table2[[#This Row],[Nest_box_ID]],Sheet1!A:A,Sheet1!L:L, "No Match")</f>
        <v>0</v>
      </c>
      <c r="K552" s="11">
        <v>43805</v>
      </c>
      <c r="L552">
        <f>_xlfn.XLOOKUP(Table2[[#This Row],[Nest_box_ID]],Sheet1!A:A,Sheet1!K:K, "No Match")</f>
        <v>14</v>
      </c>
      <c r="M552" s="11">
        <v>43792</v>
      </c>
      <c r="N552" s="16">
        <v>0.65569444444444447</v>
      </c>
      <c r="O552">
        <v>1</v>
      </c>
      <c r="P552">
        <v>65</v>
      </c>
      <c r="Q552" t="s">
        <v>319</v>
      </c>
      <c r="R552" t="s">
        <v>254</v>
      </c>
      <c r="S552">
        <f>_xlfn.XLOOKUP(Table2[[#This Row],[Obs_date]],'19-20_niwa_temp_data'!B:B,'19-20_niwa_temp_data'!G:G, "N/A")</f>
        <v>15.553777676178864</v>
      </c>
      <c r="T552">
        <f>_xlfn.XLOOKUP(Table2[[#This Row],[First_egg_lay_date]],'19-20_niwa_temp_data'!B:B,'19-20_niwa_temp_data'!G:G, "No Match")</f>
        <v>14.974979131871937</v>
      </c>
    </row>
    <row r="553" spans="1:20" x14ac:dyDescent="0.35">
      <c r="A553" t="s">
        <v>9</v>
      </c>
      <c r="B553" t="s">
        <v>49</v>
      </c>
      <c r="C553" s="3" t="s">
        <v>138</v>
      </c>
      <c r="D553" t="str">
        <f>_xlfn.XLOOKUP(Table2[[#This Row],[Female_ID ]],'19-20_female_cohort'!I:I,'19-20_female_cohort'!H:H, "No Match")</f>
        <v>2013/2014</v>
      </c>
      <c r="E553">
        <v>6</v>
      </c>
      <c r="F553" s="11">
        <v>43784</v>
      </c>
      <c r="G553">
        <f>_xlfn.XLOOKUP(Table2[[#This Row],[First_egg_lay_date]],'19-20_niwa_temp_data'!B:B,'19-20_niwa_temp_data'!G:G, "No Match")</f>
        <v>15.968093186100836</v>
      </c>
      <c r="H553">
        <v>5</v>
      </c>
      <c r="I553" s="11">
        <v>43788</v>
      </c>
      <c r="J553">
        <f>_xlfn.XLOOKUP(Table2[[#This Row],[Nest_box_ID]],Sheet1!A:A,Sheet1!L:L, "No Match")</f>
        <v>0</v>
      </c>
      <c r="K553" s="11">
        <v>43803</v>
      </c>
      <c r="L553">
        <f>_xlfn.XLOOKUP(Table2[[#This Row],[Nest_box_ID]],Sheet1!A:A,Sheet1!K:K, "No Match")</f>
        <v>15</v>
      </c>
      <c r="M553" s="11">
        <v>43788</v>
      </c>
      <c r="N553" s="16">
        <v>0.57708333333333328</v>
      </c>
      <c r="O553">
        <v>1</v>
      </c>
      <c r="P553">
        <v>60</v>
      </c>
      <c r="Q553" t="s">
        <v>319</v>
      </c>
      <c r="R553">
        <v>158</v>
      </c>
      <c r="S553">
        <f>_xlfn.XLOOKUP(Table2[[#This Row],[Obs_date]],'19-20_niwa_temp_data'!B:B,'19-20_niwa_temp_data'!G:G, "N/A")</f>
        <v>14.974979131871937</v>
      </c>
      <c r="T553">
        <f>_xlfn.XLOOKUP(Table2[[#This Row],[First_egg_lay_date]],'19-20_niwa_temp_data'!B:B,'19-20_niwa_temp_data'!G:G, "No Match")</f>
        <v>15.968093186100836</v>
      </c>
    </row>
    <row r="554" spans="1:20" hidden="1" x14ac:dyDescent="0.35">
      <c r="A554" t="s">
        <v>9</v>
      </c>
      <c r="B554" t="s">
        <v>49</v>
      </c>
      <c r="C554" s="3" t="s">
        <v>138</v>
      </c>
      <c r="D554" t="str">
        <f>_xlfn.XLOOKUP(Table2[[#This Row],[Female_ID ]],'19-20_female_cohort'!I:I,'19-20_female_cohort'!H:H, "No Match")</f>
        <v>2013/2014</v>
      </c>
      <c r="E554">
        <v>6</v>
      </c>
      <c r="F554" s="11">
        <v>43784</v>
      </c>
      <c r="G554">
        <f>_xlfn.XLOOKUP(Table2[[#This Row],[First_egg_lay_date]],'19-20_niwa_temp_data'!B:B,'19-20_niwa_temp_data'!G:G, "No Match")</f>
        <v>15.968093186100836</v>
      </c>
      <c r="H554">
        <v>5</v>
      </c>
      <c r="I554" s="11">
        <v>43788</v>
      </c>
      <c r="J554">
        <f>_xlfn.XLOOKUP(Table2[[#This Row],[Nest_box_ID]],Sheet1!A:A,Sheet1!L:L, "No Match")</f>
        <v>0</v>
      </c>
      <c r="K554" s="11">
        <v>43803</v>
      </c>
      <c r="L554">
        <f>_xlfn.XLOOKUP(Table2[[#This Row],[Nest_box_ID]],Sheet1!A:A,Sheet1!K:K, "No Match")</f>
        <v>15</v>
      </c>
      <c r="M554" s="11">
        <v>43788</v>
      </c>
      <c r="N554" s="16">
        <v>0.57891203703703709</v>
      </c>
      <c r="O554">
        <v>1</v>
      </c>
      <c r="P554">
        <v>60</v>
      </c>
      <c r="Q554" t="s">
        <v>320</v>
      </c>
      <c r="R554">
        <v>364</v>
      </c>
      <c r="S554">
        <f>_xlfn.XLOOKUP(Table2[[#This Row],[Obs_date]],'19-20_niwa_temp_data'!B:B,'19-20_niwa_temp_data'!G:G, "N/A")</f>
        <v>14.974979131871937</v>
      </c>
      <c r="T554">
        <f>_xlfn.XLOOKUP(Table2[[#This Row],[First_egg_lay_date]],'19-20_niwa_temp_data'!B:B,'19-20_niwa_temp_data'!G:G, "No Match")</f>
        <v>15.968093186100836</v>
      </c>
    </row>
    <row r="555" spans="1:20" x14ac:dyDescent="0.35">
      <c r="A555" t="s">
        <v>9</v>
      </c>
      <c r="B555" t="s">
        <v>49</v>
      </c>
      <c r="C555" s="3" t="s">
        <v>138</v>
      </c>
      <c r="D555" t="str">
        <f>_xlfn.XLOOKUP(Table2[[#This Row],[Female_ID ]],'19-20_female_cohort'!I:I,'19-20_female_cohort'!H:H, "No Match")</f>
        <v>2013/2014</v>
      </c>
      <c r="E555">
        <v>6</v>
      </c>
      <c r="F555" s="11">
        <v>43784</v>
      </c>
      <c r="G555">
        <f>_xlfn.XLOOKUP(Table2[[#This Row],[First_egg_lay_date]],'19-20_niwa_temp_data'!B:B,'19-20_niwa_temp_data'!G:G, "No Match")</f>
        <v>15.968093186100836</v>
      </c>
      <c r="H555">
        <v>5</v>
      </c>
      <c r="I555" s="11">
        <v>43788</v>
      </c>
      <c r="J555">
        <f>_xlfn.XLOOKUP(Table2[[#This Row],[Nest_box_ID]],Sheet1!A:A,Sheet1!L:L, "No Match")</f>
        <v>0</v>
      </c>
      <c r="K555" s="11">
        <v>43803</v>
      </c>
      <c r="L555">
        <f>_xlfn.XLOOKUP(Table2[[#This Row],[Nest_box_ID]],Sheet1!A:A,Sheet1!K:K, "No Match")</f>
        <v>15</v>
      </c>
      <c r="M555" s="11">
        <v>43788</v>
      </c>
      <c r="N555" s="16">
        <v>0.583125</v>
      </c>
      <c r="O555">
        <v>1</v>
      </c>
      <c r="P555">
        <v>60</v>
      </c>
      <c r="Q555" t="s">
        <v>319</v>
      </c>
      <c r="R555">
        <v>668</v>
      </c>
      <c r="S555">
        <f>_xlfn.XLOOKUP(Table2[[#This Row],[Obs_date]],'19-20_niwa_temp_data'!B:B,'19-20_niwa_temp_data'!G:G, "N/A")</f>
        <v>14.974979131871937</v>
      </c>
      <c r="T555">
        <f>_xlfn.XLOOKUP(Table2[[#This Row],[First_egg_lay_date]],'19-20_niwa_temp_data'!B:B,'19-20_niwa_temp_data'!G:G, "No Match")</f>
        <v>15.968093186100836</v>
      </c>
    </row>
    <row r="556" spans="1:20" x14ac:dyDescent="0.35">
      <c r="A556" t="s">
        <v>9</v>
      </c>
      <c r="B556" t="s">
        <v>49</v>
      </c>
      <c r="C556" s="3" t="s">
        <v>138</v>
      </c>
      <c r="D556" t="str">
        <f>_xlfn.XLOOKUP(Table2[[#This Row],[Female_ID ]],'19-20_female_cohort'!I:I,'19-20_female_cohort'!H:H, "No Match")</f>
        <v>2013/2014</v>
      </c>
      <c r="E556">
        <v>6</v>
      </c>
      <c r="F556" s="11">
        <v>43784</v>
      </c>
      <c r="G556">
        <f>_xlfn.XLOOKUP(Table2[[#This Row],[First_egg_lay_date]],'19-20_niwa_temp_data'!B:B,'19-20_niwa_temp_data'!G:G, "No Match")</f>
        <v>15.968093186100836</v>
      </c>
      <c r="H556">
        <v>5</v>
      </c>
      <c r="I556" s="11">
        <v>43788</v>
      </c>
      <c r="J556">
        <f>_xlfn.XLOOKUP(Table2[[#This Row],[Nest_box_ID]],Sheet1!A:A,Sheet1!L:L, "No Match")</f>
        <v>0</v>
      </c>
      <c r="K556" s="11">
        <v>43803</v>
      </c>
      <c r="L556">
        <f>_xlfn.XLOOKUP(Table2[[#This Row],[Nest_box_ID]],Sheet1!A:A,Sheet1!K:K, "No Match")</f>
        <v>15</v>
      </c>
      <c r="M556" s="11">
        <v>43788</v>
      </c>
      <c r="N556" s="16">
        <v>0.59085648148148151</v>
      </c>
      <c r="O556">
        <v>1</v>
      </c>
      <c r="P556">
        <v>60</v>
      </c>
      <c r="Q556" t="s">
        <v>319</v>
      </c>
      <c r="R556">
        <v>992</v>
      </c>
      <c r="S556">
        <f>_xlfn.XLOOKUP(Table2[[#This Row],[Obs_date]],'19-20_niwa_temp_data'!B:B,'19-20_niwa_temp_data'!G:G, "N/A")</f>
        <v>14.974979131871937</v>
      </c>
      <c r="T556">
        <f>_xlfn.XLOOKUP(Table2[[#This Row],[First_egg_lay_date]],'19-20_niwa_temp_data'!B:B,'19-20_niwa_temp_data'!G:G, "No Match")</f>
        <v>15.968093186100836</v>
      </c>
    </row>
    <row r="557" spans="1:20" x14ac:dyDescent="0.35">
      <c r="A557" t="s">
        <v>9</v>
      </c>
      <c r="B557" t="s">
        <v>49</v>
      </c>
      <c r="C557" s="3" t="s">
        <v>138</v>
      </c>
      <c r="D557" t="str">
        <f>_xlfn.XLOOKUP(Table2[[#This Row],[Female_ID ]],'19-20_female_cohort'!I:I,'19-20_female_cohort'!H:H, "No Match")</f>
        <v>2013/2014</v>
      </c>
      <c r="E557">
        <v>6</v>
      </c>
      <c r="F557" s="11">
        <v>43784</v>
      </c>
      <c r="G557">
        <f>_xlfn.XLOOKUP(Table2[[#This Row],[First_egg_lay_date]],'19-20_niwa_temp_data'!B:B,'19-20_niwa_temp_data'!G:G, "No Match")</f>
        <v>15.968093186100836</v>
      </c>
      <c r="H557">
        <v>5</v>
      </c>
      <c r="I557" s="11">
        <v>43788</v>
      </c>
      <c r="J557">
        <f>_xlfn.XLOOKUP(Table2[[#This Row],[Nest_box_ID]],Sheet1!A:A,Sheet1!L:L, "No Match")</f>
        <v>0</v>
      </c>
      <c r="K557" s="11">
        <v>43803</v>
      </c>
      <c r="L557">
        <f>_xlfn.XLOOKUP(Table2[[#This Row],[Nest_box_ID]],Sheet1!A:A,Sheet1!K:K, "No Match")</f>
        <v>15</v>
      </c>
      <c r="M557" s="11">
        <v>43788</v>
      </c>
      <c r="N557" s="16">
        <v>0.60233796296296294</v>
      </c>
      <c r="O557">
        <v>1</v>
      </c>
      <c r="P557">
        <v>60</v>
      </c>
      <c r="Q557" t="s">
        <v>319</v>
      </c>
      <c r="R557">
        <v>1008</v>
      </c>
      <c r="S557">
        <f>_xlfn.XLOOKUP(Table2[[#This Row],[Obs_date]],'19-20_niwa_temp_data'!B:B,'19-20_niwa_temp_data'!G:G, "N/A")</f>
        <v>14.974979131871937</v>
      </c>
      <c r="T557">
        <f>_xlfn.XLOOKUP(Table2[[#This Row],[First_egg_lay_date]],'19-20_niwa_temp_data'!B:B,'19-20_niwa_temp_data'!G:G, "No Match")</f>
        <v>15.968093186100836</v>
      </c>
    </row>
    <row r="558" spans="1:20" hidden="1" x14ac:dyDescent="0.35">
      <c r="A558" t="s">
        <v>9</v>
      </c>
      <c r="B558" t="s">
        <v>49</v>
      </c>
      <c r="C558" s="3" t="s">
        <v>138</v>
      </c>
      <c r="D558" t="str">
        <f>_xlfn.XLOOKUP(Table2[[#This Row],[Female_ID ]],'19-20_female_cohort'!I:I,'19-20_female_cohort'!H:H, "No Match")</f>
        <v>2013/2014</v>
      </c>
      <c r="E558">
        <v>6</v>
      </c>
      <c r="F558" s="11">
        <v>43784</v>
      </c>
      <c r="G558">
        <f>_xlfn.XLOOKUP(Table2[[#This Row],[First_egg_lay_date]],'19-20_niwa_temp_data'!B:B,'19-20_niwa_temp_data'!G:G, "No Match")</f>
        <v>15.968093186100836</v>
      </c>
      <c r="H558">
        <v>5</v>
      </c>
      <c r="I558" s="11">
        <v>43788</v>
      </c>
      <c r="J558">
        <f>_xlfn.XLOOKUP(Table2[[#This Row],[Nest_box_ID]],Sheet1!A:A,Sheet1!L:L, "No Match")</f>
        <v>0</v>
      </c>
      <c r="K558" s="11">
        <v>43803</v>
      </c>
      <c r="L558">
        <f>_xlfn.XLOOKUP(Table2[[#This Row],[Nest_box_ID]],Sheet1!A:A,Sheet1!K:K, "No Match")</f>
        <v>15</v>
      </c>
      <c r="M558" s="11">
        <v>43788</v>
      </c>
      <c r="N558" s="16">
        <v>0.61400462962962965</v>
      </c>
      <c r="O558">
        <v>1</v>
      </c>
      <c r="P558">
        <v>60</v>
      </c>
      <c r="Q558" t="s">
        <v>320</v>
      </c>
      <c r="R558" t="s">
        <v>254</v>
      </c>
      <c r="S558">
        <f>_xlfn.XLOOKUP(Table2[[#This Row],[Obs_date]],'19-20_niwa_temp_data'!B:B,'19-20_niwa_temp_data'!G:G, "N/A")</f>
        <v>14.974979131871937</v>
      </c>
      <c r="T558">
        <f>_xlfn.XLOOKUP(Table2[[#This Row],[First_egg_lay_date]],'19-20_niwa_temp_data'!B:B,'19-20_niwa_temp_data'!G:G, "No Match")</f>
        <v>15.968093186100836</v>
      </c>
    </row>
    <row r="559" spans="1:20" x14ac:dyDescent="0.35">
      <c r="A559" t="s">
        <v>9</v>
      </c>
      <c r="B559" t="s">
        <v>49</v>
      </c>
      <c r="C559" s="3" t="s">
        <v>138</v>
      </c>
      <c r="D559" t="str">
        <f>_xlfn.XLOOKUP(Table2[[#This Row],[Female_ID ]],'19-20_female_cohort'!I:I,'19-20_female_cohort'!H:H, "No Match")</f>
        <v>2013/2014</v>
      </c>
      <c r="E559">
        <v>6</v>
      </c>
      <c r="F559" s="11">
        <v>43784</v>
      </c>
      <c r="G559">
        <f>_xlfn.XLOOKUP(Table2[[#This Row],[First_egg_lay_date]],'19-20_niwa_temp_data'!B:B,'19-20_niwa_temp_data'!G:G, "No Match")</f>
        <v>15.968093186100836</v>
      </c>
      <c r="H559">
        <v>5</v>
      </c>
      <c r="I559" s="11">
        <v>43788</v>
      </c>
      <c r="J559">
        <f>_xlfn.XLOOKUP(Table2[[#This Row],[Nest_box_ID]],Sheet1!A:A,Sheet1!L:L, "No Match")</f>
        <v>0</v>
      </c>
      <c r="K559" s="11">
        <v>43803</v>
      </c>
      <c r="L559">
        <f>_xlfn.XLOOKUP(Table2[[#This Row],[Nest_box_ID]],Sheet1!A:A,Sheet1!K:K, "No Match")</f>
        <v>15</v>
      </c>
      <c r="M559" s="11">
        <v>43795</v>
      </c>
      <c r="N559" s="16">
        <v>0.53194444444444444</v>
      </c>
      <c r="O559">
        <v>7</v>
      </c>
      <c r="P559">
        <v>27</v>
      </c>
      <c r="Q559" t="s">
        <v>319</v>
      </c>
      <c r="R559">
        <v>360</v>
      </c>
      <c r="S559">
        <f>_xlfn.XLOOKUP(Table2[[#This Row],[Obs_date]],'19-20_niwa_temp_data'!B:B,'19-20_niwa_temp_data'!G:G, "N/A")</f>
        <v>16.664933243190625</v>
      </c>
      <c r="T559">
        <f>_xlfn.XLOOKUP(Table2[[#This Row],[First_egg_lay_date]],'19-20_niwa_temp_data'!B:B,'19-20_niwa_temp_data'!G:G, "No Match")</f>
        <v>15.968093186100836</v>
      </c>
    </row>
    <row r="560" spans="1:20" hidden="1" x14ac:dyDescent="0.35">
      <c r="A560" t="s">
        <v>9</v>
      </c>
      <c r="B560" t="s">
        <v>49</v>
      </c>
      <c r="C560" s="3" t="s">
        <v>138</v>
      </c>
      <c r="D560" t="str">
        <f>_xlfn.XLOOKUP(Table2[[#This Row],[Female_ID ]],'19-20_female_cohort'!I:I,'19-20_female_cohort'!H:H, "No Match")</f>
        <v>2013/2014</v>
      </c>
      <c r="E560">
        <v>6</v>
      </c>
      <c r="F560" s="11">
        <v>43784</v>
      </c>
      <c r="G560">
        <f>_xlfn.XLOOKUP(Table2[[#This Row],[First_egg_lay_date]],'19-20_niwa_temp_data'!B:B,'19-20_niwa_temp_data'!G:G, "No Match")</f>
        <v>15.968093186100836</v>
      </c>
      <c r="H560">
        <v>5</v>
      </c>
      <c r="I560" s="11">
        <v>43788</v>
      </c>
      <c r="J560">
        <f>_xlfn.XLOOKUP(Table2[[#This Row],[Nest_box_ID]],Sheet1!A:A,Sheet1!L:L, "No Match")</f>
        <v>0</v>
      </c>
      <c r="K560" s="11">
        <v>43803</v>
      </c>
      <c r="L560">
        <f>_xlfn.XLOOKUP(Table2[[#This Row],[Nest_box_ID]],Sheet1!A:A,Sheet1!K:K, "No Match")</f>
        <v>15</v>
      </c>
      <c r="M560" s="11">
        <v>43795</v>
      </c>
      <c r="N560" s="16">
        <v>0.53611111111111109</v>
      </c>
      <c r="O560">
        <v>7</v>
      </c>
      <c r="P560">
        <v>27</v>
      </c>
      <c r="Q560" t="s">
        <v>320</v>
      </c>
      <c r="R560" t="s">
        <v>254</v>
      </c>
      <c r="S560">
        <f>_xlfn.XLOOKUP(Table2[[#This Row],[Obs_date]],'19-20_niwa_temp_data'!B:B,'19-20_niwa_temp_data'!G:G, "N/A")</f>
        <v>16.664933243190625</v>
      </c>
      <c r="T560">
        <f>_xlfn.XLOOKUP(Table2[[#This Row],[First_egg_lay_date]],'19-20_niwa_temp_data'!B:B,'19-20_niwa_temp_data'!G:G, "No Match")</f>
        <v>15.968093186100836</v>
      </c>
    </row>
    <row r="561" spans="1:20" x14ac:dyDescent="0.35">
      <c r="A561" t="s">
        <v>9</v>
      </c>
      <c r="B561" t="s">
        <v>59</v>
      </c>
      <c r="C561" s="3" t="s">
        <v>148</v>
      </c>
      <c r="D561" t="str">
        <f>_xlfn.XLOOKUP(Table2[[#This Row],[Female_ID ]],'19-20_female_cohort'!I:I,'19-20_female_cohort'!H:H, "No Match")</f>
        <v>2013/2014</v>
      </c>
      <c r="E561">
        <v>6</v>
      </c>
      <c r="F561" s="11">
        <v>43792</v>
      </c>
      <c r="G561">
        <f>_xlfn.XLOOKUP(Table2[[#This Row],[First_egg_lay_date]],'19-20_niwa_temp_data'!B:B,'19-20_niwa_temp_data'!G:G, "No Match")</f>
        <v>15.553777676178864</v>
      </c>
      <c r="H561">
        <v>5</v>
      </c>
      <c r="I561" s="11">
        <v>43796</v>
      </c>
      <c r="J561">
        <f>_xlfn.XLOOKUP(Table2[[#This Row],[Nest_box_ID]],Sheet1!A:A,Sheet1!L:L, "No Match")</f>
        <v>0</v>
      </c>
      <c r="K561" s="11">
        <v>43810</v>
      </c>
      <c r="L561">
        <f>_xlfn.XLOOKUP(Table2[[#This Row],[Nest_box_ID]],Sheet1!A:A,Sheet1!K:K, "No Match")</f>
        <v>14</v>
      </c>
      <c r="M561" s="11">
        <v>43796</v>
      </c>
      <c r="N561" s="16">
        <v>0.72934027777777777</v>
      </c>
      <c r="O561">
        <v>1</v>
      </c>
      <c r="P561">
        <v>36</v>
      </c>
      <c r="Q561" t="s">
        <v>319</v>
      </c>
      <c r="R561">
        <v>310</v>
      </c>
      <c r="S561">
        <f>_xlfn.XLOOKUP(Table2[[#This Row],[Obs_date]],'19-20_niwa_temp_data'!B:B,'19-20_niwa_temp_data'!G:G, "N/A")</f>
        <v>17.287857010051884</v>
      </c>
      <c r="T561">
        <f>_xlfn.XLOOKUP(Table2[[#This Row],[First_egg_lay_date]],'19-20_niwa_temp_data'!B:B,'19-20_niwa_temp_data'!G:G, "No Match")</f>
        <v>15.553777676178864</v>
      </c>
    </row>
    <row r="562" spans="1:20" hidden="1" x14ac:dyDescent="0.35">
      <c r="A562" t="s">
        <v>9</v>
      </c>
      <c r="B562" t="s">
        <v>59</v>
      </c>
      <c r="C562" s="3" t="s">
        <v>148</v>
      </c>
      <c r="D562" t="str">
        <f>_xlfn.XLOOKUP(Table2[[#This Row],[Female_ID ]],'19-20_female_cohort'!I:I,'19-20_female_cohort'!H:H, "No Match")</f>
        <v>2013/2014</v>
      </c>
      <c r="E562">
        <v>6</v>
      </c>
      <c r="F562" s="11">
        <v>43792</v>
      </c>
      <c r="G562">
        <f>_xlfn.XLOOKUP(Table2[[#This Row],[First_egg_lay_date]],'19-20_niwa_temp_data'!B:B,'19-20_niwa_temp_data'!G:G, "No Match")</f>
        <v>15.553777676178864</v>
      </c>
      <c r="H562">
        <v>5</v>
      </c>
      <c r="I562" s="11">
        <v>43796</v>
      </c>
      <c r="J562">
        <f>_xlfn.XLOOKUP(Table2[[#This Row],[Nest_box_ID]],Sheet1!A:A,Sheet1!L:L, "No Match")</f>
        <v>0</v>
      </c>
      <c r="K562" s="11">
        <v>43810</v>
      </c>
      <c r="L562">
        <f>_xlfn.XLOOKUP(Table2[[#This Row],[Nest_box_ID]],Sheet1!A:A,Sheet1!K:K, "No Match")</f>
        <v>14</v>
      </c>
      <c r="M562" s="11">
        <v>43796</v>
      </c>
      <c r="N562" s="16">
        <v>0.7329282407407407</v>
      </c>
      <c r="O562">
        <v>1</v>
      </c>
      <c r="P562">
        <v>36</v>
      </c>
      <c r="Q562" t="s">
        <v>320</v>
      </c>
      <c r="R562" t="s">
        <v>254</v>
      </c>
      <c r="S562">
        <f>_xlfn.XLOOKUP(Table2[[#This Row],[Obs_date]],'19-20_niwa_temp_data'!B:B,'19-20_niwa_temp_data'!G:G, "N/A")</f>
        <v>17.287857010051884</v>
      </c>
      <c r="T562">
        <f>_xlfn.XLOOKUP(Table2[[#This Row],[First_egg_lay_date]],'19-20_niwa_temp_data'!B:B,'19-20_niwa_temp_data'!G:G, "No Match")</f>
        <v>15.553777676178864</v>
      </c>
    </row>
    <row r="563" spans="1:20" x14ac:dyDescent="0.35">
      <c r="A563" t="s">
        <v>9</v>
      </c>
      <c r="B563" t="s">
        <v>59</v>
      </c>
      <c r="C563" s="3" t="s">
        <v>148</v>
      </c>
      <c r="D563" t="str">
        <f>_xlfn.XLOOKUP(Table2[[#This Row],[Female_ID ]],'19-20_female_cohort'!I:I,'19-20_female_cohort'!H:H, "No Match")</f>
        <v>2013/2014</v>
      </c>
      <c r="E563">
        <v>6</v>
      </c>
      <c r="F563" s="11">
        <v>43792</v>
      </c>
      <c r="G563">
        <f>_xlfn.XLOOKUP(Table2[[#This Row],[First_egg_lay_date]],'19-20_niwa_temp_data'!B:B,'19-20_niwa_temp_data'!G:G, "No Match")</f>
        <v>15.553777676178864</v>
      </c>
      <c r="H563">
        <v>5</v>
      </c>
      <c r="I563" s="11">
        <v>43796</v>
      </c>
      <c r="J563">
        <f>_xlfn.XLOOKUP(Table2[[#This Row],[Nest_box_ID]],Sheet1!A:A,Sheet1!L:L, "No Match")</f>
        <v>0</v>
      </c>
      <c r="K563" s="11">
        <v>43810</v>
      </c>
      <c r="L563">
        <f>_xlfn.XLOOKUP(Table2[[#This Row],[Nest_box_ID]],Sheet1!A:A,Sheet1!K:K, "No Match")</f>
        <v>14</v>
      </c>
      <c r="M563" s="11">
        <v>43802</v>
      </c>
      <c r="N563" s="16">
        <v>0.52877314814814813</v>
      </c>
      <c r="O563">
        <v>7</v>
      </c>
      <c r="P563">
        <v>83</v>
      </c>
      <c r="Q563" t="s">
        <v>319</v>
      </c>
      <c r="R563">
        <v>372</v>
      </c>
      <c r="S563">
        <f>_xlfn.XLOOKUP(Table2[[#This Row],[Obs_date]],'19-20_niwa_temp_data'!B:B,'19-20_niwa_temp_data'!G:G, "N/A")</f>
        <v>18.244999314880776</v>
      </c>
      <c r="T563">
        <f>_xlfn.XLOOKUP(Table2[[#This Row],[First_egg_lay_date]],'19-20_niwa_temp_data'!B:B,'19-20_niwa_temp_data'!G:G, "No Match")</f>
        <v>15.553777676178864</v>
      </c>
    </row>
    <row r="564" spans="1:20" hidden="1" x14ac:dyDescent="0.35">
      <c r="A564" t="s">
        <v>9</v>
      </c>
      <c r="B564" t="s">
        <v>59</v>
      </c>
      <c r="C564" s="3" t="s">
        <v>148</v>
      </c>
      <c r="D564" t="str">
        <f>_xlfn.XLOOKUP(Table2[[#This Row],[Female_ID ]],'19-20_female_cohort'!I:I,'19-20_female_cohort'!H:H, "No Match")</f>
        <v>2013/2014</v>
      </c>
      <c r="E564">
        <v>6</v>
      </c>
      <c r="F564" s="11">
        <v>43792</v>
      </c>
      <c r="G564">
        <f>_xlfn.XLOOKUP(Table2[[#This Row],[First_egg_lay_date]],'19-20_niwa_temp_data'!B:B,'19-20_niwa_temp_data'!G:G, "No Match")</f>
        <v>15.553777676178864</v>
      </c>
      <c r="H564">
        <v>5</v>
      </c>
      <c r="I564" s="11">
        <v>43796</v>
      </c>
      <c r="J564">
        <f>_xlfn.XLOOKUP(Table2[[#This Row],[Nest_box_ID]],Sheet1!A:A,Sheet1!L:L, "No Match")</f>
        <v>0</v>
      </c>
      <c r="K564" s="11">
        <v>43810</v>
      </c>
      <c r="L564">
        <f>_xlfn.XLOOKUP(Table2[[#This Row],[Nest_box_ID]],Sheet1!A:A,Sheet1!K:K, "No Match")</f>
        <v>14</v>
      </c>
      <c r="M564" s="11">
        <v>43802</v>
      </c>
      <c r="N564" s="16">
        <v>0.53307870370370369</v>
      </c>
      <c r="O564">
        <v>7</v>
      </c>
      <c r="P564">
        <v>83</v>
      </c>
      <c r="Q564" t="s">
        <v>320</v>
      </c>
      <c r="R564" t="s">
        <v>254</v>
      </c>
      <c r="S564">
        <f>_xlfn.XLOOKUP(Table2[[#This Row],[Obs_date]],'19-20_niwa_temp_data'!B:B,'19-20_niwa_temp_data'!G:G, "N/A")</f>
        <v>18.244999314880776</v>
      </c>
      <c r="T564">
        <f>_xlfn.XLOOKUP(Table2[[#This Row],[First_egg_lay_date]],'19-20_niwa_temp_data'!B:B,'19-20_niwa_temp_data'!G:G, "No Match")</f>
        <v>15.553777676178864</v>
      </c>
    </row>
    <row r="565" spans="1:20" x14ac:dyDescent="0.35">
      <c r="A565" t="s">
        <v>9</v>
      </c>
      <c r="B565" t="s">
        <v>59</v>
      </c>
      <c r="C565" s="3" t="s">
        <v>148</v>
      </c>
      <c r="D565" t="str">
        <f>_xlfn.XLOOKUP(Table2[[#This Row],[Female_ID ]],'19-20_female_cohort'!I:I,'19-20_female_cohort'!H:H, "No Match")</f>
        <v>2013/2014</v>
      </c>
      <c r="E565">
        <v>6</v>
      </c>
      <c r="F565" s="11">
        <v>43792</v>
      </c>
      <c r="G565">
        <f>_xlfn.XLOOKUP(Table2[[#This Row],[First_egg_lay_date]],'19-20_niwa_temp_data'!B:B,'19-20_niwa_temp_data'!G:G, "No Match")</f>
        <v>15.553777676178864</v>
      </c>
      <c r="H565">
        <v>5</v>
      </c>
      <c r="I565" s="11">
        <v>43796</v>
      </c>
      <c r="J565">
        <f>_xlfn.XLOOKUP(Table2[[#This Row],[Nest_box_ID]],Sheet1!A:A,Sheet1!L:L, "No Match")</f>
        <v>0</v>
      </c>
      <c r="K565" s="11">
        <v>43810</v>
      </c>
      <c r="L565">
        <f>_xlfn.XLOOKUP(Table2[[#This Row],[Nest_box_ID]],Sheet1!A:A,Sheet1!K:K, "No Match")</f>
        <v>14</v>
      </c>
      <c r="M565" s="11">
        <v>43808</v>
      </c>
      <c r="N565" s="16">
        <v>0.40856481481481483</v>
      </c>
      <c r="O565">
        <v>13</v>
      </c>
      <c r="P565">
        <v>63</v>
      </c>
      <c r="Q565" t="s">
        <v>319</v>
      </c>
      <c r="R565">
        <v>330</v>
      </c>
      <c r="S565">
        <f>_xlfn.XLOOKUP(Table2[[#This Row],[Obs_date]],'19-20_niwa_temp_data'!B:B,'19-20_niwa_temp_data'!G:G, "N/A")</f>
        <v>17.951044537853498</v>
      </c>
      <c r="T565">
        <f>_xlfn.XLOOKUP(Table2[[#This Row],[First_egg_lay_date]],'19-20_niwa_temp_data'!B:B,'19-20_niwa_temp_data'!G:G, "No Match")</f>
        <v>15.553777676178864</v>
      </c>
    </row>
    <row r="566" spans="1:20" hidden="1" x14ac:dyDescent="0.35">
      <c r="A566" t="s">
        <v>9</v>
      </c>
      <c r="B566" t="s">
        <v>59</v>
      </c>
      <c r="C566" s="3" t="s">
        <v>148</v>
      </c>
      <c r="D566" t="str">
        <f>_xlfn.XLOOKUP(Table2[[#This Row],[Female_ID ]],'19-20_female_cohort'!I:I,'19-20_female_cohort'!H:H, "No Match")</f>
        <v>2013/2014</v>
      </c>
      <c r="E566">
        <v>6</v>
      </c>
      <c r="F566" s="11">
        <v>43792</v>
      </c>
      <c r="G566">
        <f>_xlfn.XLOOKUP(Table2[[#This Row],[First_egg_lay_date]],'19-20_niwa_temp_data'!B:B,'19-20_niwa_temp_data'!G:G, "No Match")</f>
        <v>15.553777676178864</v>
      </c>
      <c r="H566">
        <v>5</v>
      </c>
      <c r="I566" s="11">
        <v>43796</v>
      </c>
      <c r="J566">
        <f>_xlfn.XLOOKUP(Table2[[#This Row],[Nest_box_ID]],Sheet1!A:A,Sheet1!L:L, "No Match")</f>
        <v>0</v>
      </c>
      <c r="K566" s="11">
        <v>43810</v>
      </c>
      <c r="L566">
        <f>_xlfn.XLOOKUP(Table2[[#This Row],[Nest_box_ID]],Sheet1!A:A,Sheet1!K:K, "No Match")</f>
        <v>14</v>
      </c>
      <c r="M566" s="11">
        <v>43808</v>
      </c>
      <c r="N566" s="16">
        <v>0.41238425925925926</v>
      </c>
      <c r="O566">
        <v>13</v>
      </c>
      <c r="P566">
        <v>63</v>
      </c>
      <c r="Q566" t="s">
        <v>320</v>
      </c>
      <c r="R566">
        <v>1324</v>
      </c>
      <c r="S566">
        <f>_xlfn.XLOOKUP(Table2[[#This Row],[Obs_date]],'19-20_niwa_temp_data'!B:B,'19-20_niwa_temp_data'!G:G, "N/A")</f>
        <v>17.951044537853498</v>
      </c>
      <c r="T566">
        <f>_xlfn.XLOOKUP(Table2[[#This Row],[First_egg_lay_date]],'19-20_niwa_temp_data'!B:B,'19-20_niwa_temp_data'!G:G, "No Match")</f>
        <v>15.553777676178864</v>
      </c>
    </row>
    <row r="567" spans="1:20" hidden="1" x14ac:dyDescent="0.35">
      <c r="A567" t="s">
        <v>9</v>
      </c>
      <c r="B567" t="s">
        <v>59</v>
      </c>
      <c r="C567" s="3" t="s">
        <v>148</v>
      </c>
      <c r="D567" t="str">
        <f>_xlfn.XLOOKUP(Table2[[#This Row],[Female_ID ]],'19-20_female_cohort'!I:I,'19-20_female_cohort'!H:H, "No Match")</f>
        <v>2013/2014</v>
      </c>
      <c r="E567">
        <v>6</v>
      </c>
      <c r="F567" s="11">
        <v>43792</v>
      </c>
      <c r="G567">
        <f>_xlfn.XLOOKUP(Table2[[#This Row],[First_egg_lay_date]],'19-20_niwa_temp_data'!B:B,'19-20_niwa_temp_data'!G:G, "No Match")</f>
        <v>15.553777676178864</v>
      </c>
      <c r="H567">
        <v>5</v>
      </c>
      <c r="I567" s="11">
        <v>43796</v>
      </c>
      <c r="J567">
        <f>_xlfn.XLOOKUP(Table2[[#This Row],[Nest_box_ID]],Sheet1!A:A,Sheet1!L:L, "No Match")</f>
        <v>0</v>
      </c>
      <c r="K567" s="11">
        <v>43810</v>
      </c>
      <c r="L567">
        <f>_xlfn.XLOOKUP(Table2[[#This Row],[Nest_box_ID]],Sheet1!A:A,Sheet1!K:K, "No Match")</f>
        <v>14</v>
      </c>
      <c r="M567" s="11">
        <v>43808</v>
      </c>
      <c r="N567" s="16">
        <v>0.42770833333333336</v>
      </c>
      <c r="O567">
        <v>13</v>
      </c>
      <c r="P567">
        <v>63</v>
      </c>
      <c r="Q567" t="s">
        <v>320</v>
      </c>
      <c r="R567" t="s">
        <v>254</v>
      </c>
      <c r="S567">
        <f>_xlfn.XLOOKUP(Table2[[#This Row],[Obs_date]],'19-20_niwa_temp_data'!B:B,'19-20_niwa_temp_data'!G:G, "N/A")</f>
        <v>17.951044537853498</v>
      </c>
      <c r="T567">
        <f>_xlfn.XLOOKUP(Table2[[#This Row],[First_egg_lay_date]],'19-20_niwa_temp_data'!B:B,'19-20_niwa_temp_data'!G:G, "No Match")</f>
        <v>15.553777676178864</v>
      </c>
    </row>
    <row r="568" spans="1:20" x14ac:dyDescent="0.35">
      <c r="A568" t="s">
        <v>9</v>
      </c>
      <c r="B568" t="s">
        <v>70</v>
      </c>
      <c r="C568" s="3" t="s">
        <v>159</v>
      </c>
      <c r="D568" t="str">
        <f>_xlfn.XLOOKUP(Table2[[#This Row],[Female_ID ]],'19-20_female_cohort'!I:I,'19-20_female_cohort'!H:H, "No Match")</f>
        <v>2017/2018</v>
      </c>
      <c r="E568">
        <v>2</v>
      </c>
      <c r="F568" s="11">
        <v>43802</v>
      </c>
      <c r="G568">
        <f>_xlfn.XLOOKUP(Table2[[#This Row],[First_egg_lay_date]],'19-20_niwa_temp_data'!B:B,'19-20_niwa_temp_data'!G:G, "No Match")</f>
        <v>18.244999314880776</v>
      </c>
      <c r="H568">
        <v>4</v>
      </c>
      <c r="I568" s="11">
        <v>43805</v>
      </c>
      <c r="J568">
        <f>_xlfn.XLOOKUP(Table2[[#This Row],[Nest_box_ID]],Sheet1!A:A,Sheet1!L:L, "No Match")</f>
        <v>0</v>
      </c>
      <c r="K568" s="11">
        <v>43819</v>
      </c>
      <c r="L568">
        <f>_xlfn.XLOOKUP(Table2[[#This Row],[Nest_box_ID]],Sheet1!A:A,Sheet1!K:K, "No Match")</f>
        <v>14</v>
      </c>
      <c r="M568" s="11">
        <v>43806</v>
      </c>
      <c r="N568" s="16">
        <v>0.64645833333333336</v>
      </c>
      <c r="O568">
        <v>1</v>
      </c>
      <c r="P568">
        <v>60</v>
      </c>
      <c r="Q568" t="s">
        <v>319</v>
      </c>
      <c r="R568">
        <v>507</v>
      </c>
      <c r="S568">
        <f>_xlfn.XLOOKUP(Table2[[#This Row],[Obs_date]],'19-20_niwa_temp_data'!B:B,'19-20_niwa_temp_data'!G:G, "N/A")</f>
        <v>18.187358246870268</v>
      </c>
      <c r="T568">
        <f>_xlfn.XLOOKUP(Table2[[#This Row],[First_egg_lay_date]],'19-20_niwa_temp_data'!B:B,'19-20_niwa_temp_data'!G:G, "No Match")</f>
        <v>18.244999314880776</v>
      </c>
    </row>
    <row r="569" spans="1:20" hidden="1" x14ac:dyDescent="0.35">
      <c r="A569" t="s">
        <v>9</v>
      </c>
      <c r="B569" t="s">
        <v>70</v>
      </c>
      <c r="C569" s="3" t="s">
        <v>159</v>
      </c>
      <c r="D569" t="str">
        <f>_xlfn.XLOOKUP(Table2[[#This Row],[Female_ID ]],'19-20_female_cohort'!I:I,'19-20_female_cohort'!H:H, "No Match")</f>
        <v>2017/2018</v>
      </c>
      <c r="E569">
        <v>2</v>
      </c>
      <c r="F569" s="11">
        <v>43802</v>
      </c>
      <c r="G569">
        <f>_xlfn.XLOOKUP(Table2[[#This Row],[First_egg_lay_date]],'19-20_niwa_temp_data'!B:B,'19-20_niwa_temp_data'!G:G, "No Match")</f>
        <v>18.244999314880776</v>
      </c>
      <c r="H569">
        <v>4</v>
      </c>
      <c r="I569" s="11">
        <v>43805</v>
      </c>
      <c r="J569">
        <f>_xlfn.XLOOKUP(Table2[[#This Row],[Nest_box_ID]],Sheet1!A:A,Sheet1!L:L, "No Match")</f>
        <v>0</v>
      </c>
      <c r="K569" s="11">
        <v>43819</v>
      </c>
      <c r="L569">
        <f>_xlfn.XLOOKUP(Table2[[#This Row],[Nest_box_ID]],Sheet1!A:A,Sheet1!K:K, "No Match")</f>
        <v>14</v>
      </c>
      <c r="M569" s="11">
        <v>43806</v>
      </c>
      <c r="N569" s="16">
        <v>0.65232638888888894</v>
      </c>
      <c r="O569">
        <v>1</v>
      </c>
      <c r="P569">
        <v>60</v>
      </c>
      <c r="Q569" t="s">
        <v>320</v>
      </c>
      <c r="R569" t="s">
        <v>254</v>
      </c>
      <c r="S569">
        <f>_xlfn.XLOOKUP(Table2[[#This Row],[Obs_date]],'19-20_niwa_temp_data'!B:B,'19-20_niwa_temp_data'!G:G, "N/A")</f>
        <v>18.187358246870268</v>
      </c>
      <c r="T569">
        <f>_xlfn.XLOOKUP(Table2[[#This Row],[First_egg_lay_date]],'19-20_niwa_temp_data'!B:B,'19-20_niwa_temp_data'!G:G, "No Match")</f>
        <v>18.244999314880776</v>
      </c>
    </row>
    <row r="570" spans="1:20" x14ac:dyDescent="0.35">
      <c r="A570" t="s">
        <v>9</v>
      </c>
      <c r="B570" t="s">
        <v>48</v>
      </c>
      <c r="C570" s="3" t="s">
        <v>137</v>
      </c>
      <c r="D570" t="str">
        <f>_xlfn.XLOOKUP(Table2[[#This Row],[Female_ID ]],'19-20_female_cohort'!I:I,'19-20_female_cohort'!H:H, "No Match")</f>
        <v>2018/2019</v>
      </c>
      <c r="E570">
        <v>1</v>
      </c>
      <c r="F570" s="11">
        <v>43784</v>
      </c>
      <c r="G570">
        <f>_xlfn.XLOOKUP(Table2[[#This Row],[First_egg_lay_date]],'19-20_niwa_temp_data'!B:B,'19-20_niwa_temp_data'!G:G, "No Match")</f>
        <v>15.968093186100836</v>
      </c>
      <c r="H570">
        <v>4</v>
      </c>
      <c r="I570" s="11">
        <v>43788</v>
      </c>
      <c r="J570">
        <f>_xlfn.XLOOKUP(Table2[[#This Row],[Nest_box_ID]],Sheet1!A:A,Sheet1!L:L, "No Match")</f>
        <v>1</v>
      </c>
      <c r="K570" s="11">
        <v>43803</v>
      </c>
      <c r="L570">
        <f>_xlfn.XLOOKUP(Table2[[#This Row],[Nest_box_ID]],Sheet1!A:A,Sheet1!K:K, "No Match")</f>
        <v>15</v>
      </c>
      <c r="M570" s="11">
        <v>43789</v>
      </c>
      <c r="N570" s="16">
        <v>0.57385416666666667</v>
      </c>
      <c r="O570">
        <v>1</v>
      </c>
      <c r="P570">
        <v>58</v>
      </c>
      <c r="Q570" t="s">
        <v>319</v>
      </c>
      <c r="R570">
        <v>426</v>
      </c>
      <c r="S570">
        <f>_xlfn.XLOOKUP(Table2[[#This Row],[Obs_date]],'19-20_niwa_temp_data'!B:B,'19-20_niwa_temp_data'!G:G, "N/A")</f>
        <v>13.516656391282572</v>
      </c>
      <c r="T570">
        <f>_xlfn.XLOOKUP(Table2[[#This Row],[First_egg_lay_date]],'19-20_niwa_temp_data'!B:B,'19-20_niwa_temp_data'!G:G, "No Match")</f>
        <v>15.968093186100836</v>
      </c>
    </row>
    <row r="571" spans="1:20" hidden="1" x14ac:dyDescent="0.35">
      <c r="A571" t="s">
        <v>9</v>
      </c>
      <c r="B571" t="s">
        <v>48</v>
      </c>
      <c r="C571" s="3" t="s">
        <v>137</v>
      </c>
      <c r="D571" t="str">
        <f>_xlfn.XLOOKUP(Table2[[#This Row],[Female_ID ]],'19-20_female_cohort'!I:I,'19-20_female_cohort'!H:H, "No Match")</f>
        <v>2018/2019</v>
      </c>
      <c r="E571">
        <v>1</v>
      </c>
      <c r="F571" s="11">
        <v>43784</v>
      </c>
      <c r="G571">
        <f>_xlfn.XLOOKUP(Table2[[#This Row],[First_egg_lay_date]],'19-20_niwa_temp_data'!B:B,'19-20_niwa_temp_data'!G:G, "No Match")</f>
        <v>15.968093186100836</v>
      </c>
      <c r="H571">
        <v>4</v>
      </c>
      <c r="I571" s="11">
        <v>43788</v>
      </c>
      <c r="J571">
        <f>_xlfn.XLOOKUP(Table2[[#This Row],[Nest_box_ID]],Sheet1!A:A,Sheet1!L:L, "No Match")</f>
        <v>1</v>
      </c>
      <c r="K571" s="11">
        <v>43803</v>
      </c>
      <c r="L571">
        <f>_xlfn.XLOOKUP(Table2[[#This Row],[Nest_box_ID]],Sheet1!A:A,Sheet1!K:K, "No Match")</f>
        <v>15</v>
      </c>
      <c r="M571" s="11">
        <v>43789</v>
      </c>
      <c r="N571" s="16">
        <v>0.57878472222222221</v>
      </c>
      <c r="O571">
        <v>1</v>
      </c>
      <c r="P571">
        <v>58</v>
      </c>
      <c r="Q571" t="s">
        <v>320</v>
      </c>
      <c r="R571">
        <v>349</v>
      </c>
      <c r="S571">
        <f>_xlfn.XLOOKUP(Table2[[#This Row],[Obs_date]],'19-20_niwa_temp_data'!B:B,'19-20_niwa_temp_data'!G:G, "N/A")</f>
        <v>13.516656391282572</v>
      </c>
      <c r="T571">
        <f>_xlfn.XLOOKUP(Table2[[#This Row],[First_egg_lay_date]],'19-20_niwa_temp_data'!B:B,'19-20_niwa_temp_data'!G:G, "No Match")</f>
        <v>15.968093186100836</v>
      </c>
    </row>
    <row r="572" spans="1:20" x14ac:dyDescent="0.35">
      <c r="A572" t="s">
        <v>9</v>
      </c>
      <c r="B572" t="s">
        <v>48</v>
      </c>
      <c r="C572" s="3" t="s">
        <v>137</v>
      </c>
      <c r="D572" t="str">
        <f>_xlfn.XLOOKUP(Table2[[#This Row],[Female_ID ]],'19-20_female_cohort'!I:I,'19-20_female_cohort'!H:H, "No Match")</f>
        <v>2018/2019</v>
      </c>
      <c r="E572">
        <v>1</v>
      </c>
      <c r="F572" s="11">
        <v>43784</v>
      </c>
      <c r="G572">
        <f>_xlfn.XLOOKUP(Table2[[#This Row],[First_egg_lay_date]],'19-20_niwa_temp_data'!B:B,'19-20_niwa_temp_data'!G:G, "No Match")</f>
        <v>15.968093186100836</v>
      </c>
      <c r="H572">
        <v>4</v>
      </c>
      <c r="I572" s="11">
        <v>43788</v>
      </c>
      <c r="J572">
        <f>_xlfn.XLOOKUP(Table2[[#This Row],[Nest_box_ID]],Sheet1!A:A,Sheet1!L:L, "No Match")</f>
        <v>1</v>
      </c>
      <c r="K572" s="11">
        <v>43803</v>
      </c>
      <c r="L572">
        <f>_xlfn.XLOOKUP(Table2[[#This Row],[Nest_box_ID]],Sheet1!A:A,Sheet1!K:K, "No Match")</f>
        <v>15</v>
      </c>
      <c r="M572" s="11">
        <v>43789</v>
      </c>
      <c r="N572" s="16">
        <v>0.58282407407407411</v>
      </c>
      <c r="O572">
        <v>1</v>
      </c>
      <c r="P572">
        <v>58</v>
      </c>
      <c r="Q572" t="s">
        <v>319</v>
      </c>
      <c r="R572">
        <v>326</v>
      </c>
      <c r="S572">
        <f>_xlfn.XLOOKUP(Table2[[#This Row],[Obs_date]],'19-20_niwa_temp_data'!B:B,'19-20_niwa_temp_data'!G:G, "N/A")</f>
        <v>13.516656391282572</v>
      </c>
      <c r="T572">
        <f>_xlfn.XLOOKUP(Table2[[#This Row],[First_egg_lay_date]],'19-20_niwa_temp_data'!B:B,'19-20_niwa_temp_data'!G:G, "No Match")</f>
        <v>15.968093186100836</v>
      </c>
    </row>
    <row r="573" spans="1:20" hidden="1" x14ac:dyDescent="0.35">
      <c r="A573" t="s">
        <v>9</v>
      </c>
      <c r="B573" t="s">
        <v>48</v>
      </c>
      <c r="C573" s="3" t="s">
        <v>137</v>
      </c>
      <c r="D573" t="str">
        <f>_xlfn.XLOOKUP(Table2[[#This Row],[Female_ID ]],'19-20_female_cohort'!I:I,'19-20_female_cohort'!H:H, "No Match")</f>
        <v>2018/2019</v>
      </c>
      <c r="E573">
        <v>1</v>
      </c>
      <c r="F573" s="11">
        <v>43784</v>
      </c>
      <c r="G573">
        <f>_xlfn.XLOOKUP(Table2[[#This Row],[First_egg_lay_date]],'19-20_niwa_temp_data'!B:B,'19-20_niwa_temp_data'!G:G, "No Match")</f>
        <v>15.968093186100836</v>
      </c>
      <c r="H573">
        <v>4</v>
      </c>
      <c r="I573" s="11">
        <v>43788</v>
      </c>
      <c r="J573">
        <f>_xlfn.XLOOKUP(Table2[[#This Row],[Nest_box_ID]],Sheet1!A:A,Sheet1!L:L, "No Match")</f>
        <v>1</v>
      </c>
      <c r="K573" s="11">
        <v>43803</v>
      </c>
      <c r="L573">
        <f>_xlfn.XLOOKUP(Table2[[#This Row],[Nest_box_ID]],Sheet1!A:A,Sheet1!K:K, "No Match")</f>
        <v>15</v>
      </c>
      <c r="M573" s="11">
        <v>43789</v>
      </c>
      <c r="N573" s="16">
        <v>0.58659722222222221</v>
      </c>
      <c r="O573">
        <v>1</v>
      </c>
      <c r="P573">
        <v>58</v>
      </c>
      <c r="Q573" t="s">
        <v>320</v>
      </c>
      <c r="R573" t="s">
        <v>254</v>
      </c>
      <c r="S573">
        <f>_xlfn.XLOOKUP(Table2[[#This Row],[Obs_date]],'19-20_niwa_temp_data'!B:B,'19-20_niwa_temp_data'!G:G, "N/A")</f>
        <v>13.516656391282572</v>
      </c>
      <c r="T573">
        <f>_xlfn.XLOOKUP(Table2[[#This Row],[First_egg_lay_date]],'19-20_niwa_temp_data'!B:B,'19-20_niwa_temp_data'!G:G, "No Match")</f>
        <v>15.968093186100836</v>
      </c>
    </row>
    <row r="574" spans="1:20" hidden="1" x14ac:dyDescent="0.35">
      <c r="A574" t="s">
        <v>9</v>
      </c>
      <c r="B574" t="s">
        <v>48</v>
      </c>
      <c r="C574" s="3" t="s">
        <v>137</v>
      </c>
      <c r="D574" t="str">
        <f>_xlfn.XLOOKUP(Table2[[#This Row],[Female_ID ]],'19-20_female_cohort'!I:I,'19-20_female_cohort'!H:H, "No Match")</f>
        <v>2018/2019</v>
      </c>
      <c r="E574">
        <v>1</v>
      </c>
      <c r="F574" s="11">
        <v>43784</v>
      </c>
      <c r="G574">
        <f>_xlfn.XLOOKUP(Table2[[#This Row],[First_egg_lay_date]],'19-20_niwa_temp_data'!B:B,'19-20_niwa_temp_data'!G:G, "No Match")</f>
        <v>15.968093186100836</v>
      </c>
      <c r="H574">
        <v>4</v>
      </c>
      <c r="I574" s="11">
        <v>43788</v>
      </c>
      <c r="J574">
        <f>_xlfn.XLOOKUP(Table2[[#This Row],[Nest_box_ID]],Sheet1!A:A,Sheet1!L:L, "No Match")</f>
        <v>1</v>
      </c>
      <c r="K574" s="11">
        <v>43803</v>
      </c>
      <c r="L574">
        <f>_xlfn.XLOOKUP(Table2[[#This Row],[Nest_box_ID]],Sheet1!A:A,Sheet1!K:K, "No Match")</f>
        <v>15</v>
      </c>
      <c r="M574" s="11">
        <v>43801</v>
      </c>
      <c r="N574" s="16">
        <v>0.44105324074074076</v>
      </c>
      <c r="O574">
        <v>13</v>
      </c>
      <c r="P574">
        <v>65</v>
      </c>
      <c r="Q574" t="s">
        <v>320</v>
      </c>
      <c r="R574">
        <v>234</v>
      </c>
      <c r="S574">
        <f>_xlfn.XLOOKUP(Table2[[#This Row],[Obs_date]],'19-20_niwa_temp_data'!B:B,'19-20_niwa_temp_data'!G:G, "N/A")</f>
        <v>18.228549037155975</v>
      </c>
      <c r="T574">
        <f>_xlfn.XLOOKUP(Table2[[#This Row],[First_egg_lay_date]],'19-20_niwa_temp_data'!B:B,'19-20_niwa_temp_data'!G:G, "No Match")</f>
        <v>15.968093186100836</v>
      </c>
    </row>
    <row r="575" spans="1:20" x14ac:dyDescent="0.35">
      <c r="A575" t="s">
        <v>9</v>
      </c>
      <c r="B575" t="s">
        <v>48</v>
      </c>
      <c r="C575" s="3" t="s">
        <v>137</v>
      </c>
      <c r="D575" t="str">
        <f>_xlfn.XLOOKUP(Table2[[#This Row],[Female_ID ]],'19-20_female_cohort'!I:I,'19-20_female_cohort'!H:H, "No Match")</f>
        <v>2018/2019</v>
      </c>
      <c r="E575">
        <v>1</v>
      </c>
      <c r="F575" s="11">
        <v>43784</v>
      </c>
      <c r="G575">
        <f>_xlfn.XLOOKUP(Table2[[#This Row],[First_egg_lay_date]],'19-20_niwa_temp_data'!B:B,'19-20_niwa_temp_data'!G:G, "No Match")</f>
        <v>15.968093186100836</v>
      </c>
      <c r="H575">
        <v>4</v>
      </c>
      <c r="I575" s="11">
        <v>43788</v>
      </c>
      <c r="J575">
        <f>_xlfn.XLOOKUP(Table2[[#This Row],[Nest_box_ID]],Sheet1!A:A,Sheet1!L:L, "No Match")</f>
        <v>1</v>
      </c>
      <c r="K575" s="11">
        <v>43803</v>
      </c>
      <c r="L575">
        <f>_xlfn.XLOOKUP(Table2[[#This Row],[Nest_box_ID]],Sheet1!A:A,Sheet1!K:K, "No Match")</f>
        <v>15</v>
      </c>
      <c r="M575" s="11">
        <v>43801</v>
      </c>
      <c r="N575" s="16">
        <v>0.44376157407407407</v>
      </c>
      <c r="O575">
        <v>13</v>
      </c>
      <c r="P575">
        <v>65</v>
      </c>
      <c r="Q575" t="s">
        <v>319</v>
      </c>
      <c r="R575">
        <v>508</v>
      </c>
      <c r="S575">
        <f>_xlfn.XLOOKUP(Table2[[#This Row],[Obs_date]],'19-20_niwa_temp_data'!B:B,'19-20_niwa_temp_data'!G:G, "N/A")</f>
        <v>18.228549037155975</v>
      </c>
      <c r="T575">
        <f>_xlfn.XLOOKUP(Table2[[#This Row],[First_egg_lay_date]],'19-20_niwa_temp_data'!B:B,'19-20_niwa_temp_data'!G:G, "No Match")</f>
        <v>15.968093186100836</v>
      </c>
    </row>
    <row r="576" spans="1:20" hidden="1" x14ac:dyDescent="0.35">
      <c r="A576" t="s">
        <v>9</v>
      </c>
      <c r="B576" t="s">
        <v>48</v>
      </c>
      <c r="C576" s="3" t="s">
        <v>137</v>
      </c>
      <c r="D576" t="str">
        <f>_xlfn.XLOOKUP(Table2[[#This Row],[Female_ID ]],'19-20_female_cohort'!I:I,'19-20_female_cohort'!H:H, "No Match")</f>
        <v>2018/2019</v>
      </c>
      <c r="E576">
        <v>1</v>
      </c>
      <c r="F576" s="11">
        <v>43784</v>
      </c>
      <c r="G576">
        <f>_xlfn.XLOOKUP(Table2[[#This Row],[First_egg_lay_date]],'19-20_niwa_temp_data'!B:B,'19-20_niwa_temp_data'!G:G, "No Match")</f>
        <v>15.968093186100836</v>
      </c>
      <c r="H576">
        <v>4</v>
      </c>
      <c r="I576" s="11">
        <v>43788</v>
      </c>
      <c r="J576">
        <f>_xlfn.XLOOKUP(Table2[[#This Row],[Nest_box_ID]],Sheet1!A:A,Sheet1!L:L, "No Match")</f>
        <v>1</v>
      </c>
      <c r="K576" s="11">
        <v>43803</v>
      </c>
      <c r="L576">
        <f>_xlfn.XLOOKUP(Table2[[#This Row],[Nest_box_ID]],Sheet1!A:A,Sheet1!K:K, "No Match")</f>
        <v>15</v>
      </c>
      <c r="M576" s="11">
        <v>43801</v>
      </c>
      <c r="N576" s="16">
        <v>0.4496412037037037</v>
      </c>
      <c r="O576">
        <v>13</v>
      </c>
      <c r="P576">
        <v>65</v>
      </c>
      <c r="Q576" t="s">
        <v>320</v>
      </c>
      <c r="R576">
        <v>782</v>
      </c>
      <c r="S576">
        <f>_xlfn.XLOOKUP(Table2[[#This Row],[Obs_date]],'19-20_niwa_temp_data'!B:B,'19-20_niwa_temp_data'!G:G, "N/A")</f>
        <v>18.228549037155975</v>
      </c>
      <c r="T576">
        <f>_xlfn.XLOOKUP(Table2[[#This Row],[First_egg_lay_date]],'19-20_niwa_temp_data'!B:B,'19-20_niwa_temp_data'!G:G, "No Match")</f>
        <v>15.968093186100836</v>
      </c>
    </row>
    <row r="577" spans="1:20" hidden="1" x14ac:dyDescent="0.35">
      <c r="A577" t="s">
        <v>9</v>
      </c>
      <c r="B577" t="s">
        <v>48</v>
      </c>
      <c r="C577" s="3" t="s">
        <v>137</v>
      </c>
      <c r="D577" t="str">
        <f>_xlfn.XLOOKUP(Table2[[#This Row],[Female_ID ]],'19-20_female_cohort'!I:I,'19-20_female_cohort'!H:H, "No Match")</f>
        <v>2018/2019</v>
      </c>
      <c r="E577">
        <v>1</v>
      </c>
      <c r="F577" s="11">
        <v>43784</v>
      </c>
      <c r="G577">
        <f>_xlfn.XLOOKUP(Table2[[#This Row],[First_egg_lay_date]],'19-20_niwa_temp_data'!B:B,'19-20_niwa_temp_data'!G:G, "No Match")</f>
        <v>15.968093186100836</v>
      </c>
      <c r="H577">
        <v>4</v>
      </c>
      <c r="I577" s="11">
        <v>43788</v>
      </c>
      <c r="J577">
        <f>_xlfn.XLOOKUP(Table2[[#This Row],[Nest_box_ID]],Sheet1!A:A,Sheet1!L:L, "No Match")</f>
        <v>1</v>
      </c>
      <c r="K577" s="11">
        <v>43803</v>
      </c>
      <c r="L577">
        <f>_xlfn.XLOOKUP(Table2[[#This Row],[Nest_box_ID]],Sheet1!A:A,Sheet1!K:K, "No Match")</f>
        <v>15</v>
      </c>
      <c r="M577" s="11">
        <v>43801</v>
      </c>
      <c r="N577" s="16">
        <v>0.45869212962962963</v>
      </c>
      <c r="O577">
        <v>13</v>
      </c>
      <c r="P577">
        <v>65</v>
      </c>
      <c r="Q577" t="s">
        <v>320</v>
      </c>
      <c r="R577">
        <v>755</v>
      </c>
      <c r="S577">
        <f>_xlfn.XLOOKUP(Table2[[#This Row],[Obs_date]],'19-20_niwa_temp_data'!B:B,'19-20_niwa_temp_data'!G:G, "N/A")</f>
        <v>18.228549037155975</v>
      </c>
      <c r="T577">
        <f>_xlfn.XLOOKUP(Table2[[#This Row],[First_egg_lay_date]],'19-20_niwa_temp_data'!B:B,'19-20_niwa_temp_data'!G:G, "No Match")</f>
        <v>15.968093186100836</v>
      </c>
    </row>
    <row r="578" spans="1:20" hidden="1" x14ac:dyDescent="0.35">
      <c r="A578" t="s">
        <v>9</v>
      </c>
      <c r="B578" t="s">
        <v>48</v>
      </c>
      <c r="C578" s="3" t="s">
        <v>137</v>
      </c>
      <c r="D578" t="str">
        <f>_xlfn.XLOOKUP(Table2[[#This Row],[Female_ID ]],'19-20_female_cohort'!I:I,'19-20_female_cohort'!H:H, "No Match")</f>
        <v>2018/2019</v>
      </c>
      <c r="E578">
        <v>1</v>
      </c>
      <c r="F578" s="11">
        <v>43784</v>
      </c>
      <c r="G578">
        <f>_xlfn.XLOOKUP(Table2[[#This Row],[First_egg_lay_date]],'19-20_niwa_temp_data'!B:B,'19-20_niwa_temp_data'!G:G, "No Match")</f>
        <v>15.968093186100836</v>
      </c>
      <c r="H578">
        <v>4</v>
      </c>
      <c r="I578" s="11">
        <v>43788</v>
      </c>
      <c r="J578">
        <f>_xlfn.XLOOKUP(Table2[[#This Row],[Nest_box_ID]],Sheet1!A:A,Sheet1!L:L, "No Match")</f>
        <v>1</v>
      </c>
      <c r="K578" s="11">
        <v>43803</v>
      </c>
      <c r="L578">
        <f>_xlfn.XLOOKUP(Table2[[#This Row],[Nest_box_ID]],Sheet1!A:A,Sheet1!K:K, "No Match")</f>
        <v>15</v>
      </c>
      <c r="M578" s="11">
        <v>43801</v>
      </c>
      <c r="N578" s="16">
        <v>0.46743055555555557</v>
      </c>
      <c r="O578">
        <v>13</v>
      </c>
      <c r="P578">
        <v>65</v>
      </c>
      <c r="Q578" t="s">
        <v>319</v>
      </c>
      <c r="R578" t="s">
        <v>254</v>
      </c>
      <c r="S578">
        <f>_xlfn.XLOOKUP(Table2[[#This Row],[Obs_date]],'19-20_niwa_temp_data'!B:B,'19-20_niwa_temp_data'!G:G, "N/A")</f>
        <v>18.228549037155975</v>
      </c>
      <c r="T578">
        <f>_xlfn.XLOOKUP(Table2[[#This Row],[First_egg_lay_date]],'19-20_niwa_temp_data'!B:B,'19-20_niwa_temp_data'!G:G, "No Match")</f>
        <v>15.968093186100836</v>
      </c>
    </row>
    <row r="579" spans="1:20" x14ac:dyDescent="0.35">
      <c r="A579" t="s">
        <v>9</v>
      </c>
      <c r="B579" t="s">
        <v>52</v>
      </c>
      <c r="C579" s="3" t="s">
        <v>141</v>
      </c>
      <c r="D579" t="str">
        <f>_xlfn.XLOOKUP(Table2[[#This Row],[Female_ID ]],'19-20_female_cohort'!I:I,'19-20_female_cohort'!H:H, "No Match")</f>
        <v>2018/2019</v>
      </c>
      <c r="E579">
        <v>1</v>
      </c>
      <c r="F579" s="11">
        <v>43789</v>
      </c>
      <c r="G579">
        <f>_xlfn.XLOOKUP(Table2[[#This Row],[First_egg_lay_date]],'19-20_niwa_temp_data'!B:B,'19-20_niwa_temp_data'!G:G, "No Match")</f>
        <v>13.516656391282572</v>
      </c>
      <c r="H579">
        <v>4</v>
      </c>
      <c r="I579" s="11">
        <v>43792</v>
      </c>
      <c r="J579">
        <f>_xlfn.XLOOKUP(Table2[[#This Row],[Nest_box_ID]],Sheet1!A:A,Sheet1!L:L, "No Match")</f>
        <v>0</v>
      </c>
      <c r="K579" s="11">
        <v>43807</v>
      </c>
      <c r="L579">
        <f>_xlfn.XLOOKUP(Table2[[#This Row],[Nest_box_ID]],Sheet1!A:A,Sheet1!K:K, "No Match")</f>
        <v>15</v>
      </c>
      <c r="M579" s="11">
        <v>43793</v>
      </c>
      <c r="N579" s="16">
        <v>0.624537037037037</v>
      </c>
      <c r="O579">
        <v>1</v>
      </c>
      <c r="P579">
        <v>17</v>
      </c>
      <c r="Q579" t="s">
        <v>319</v>
      </c>
      <c r="R579">
        <v>326</v>
      </c>
      <c r="S579">
        <f>_xlfn.XLOOKUP(Table2[[#This Row],[Obs_date]],'19-20_niwa_temp_data'!B:B,'19-20_niwa_temp_data'!G:G, "N/A")</f>
        <v>16.778557744931476</v>
      </c>
      <c r="T579">
        <f>_xlfn.XLOOKUP(Table2[[#This Row],[First_egg_lay_date]],'19-20_niwa_temp_data'!B:B,'19-20_niwa_temp_data'!G:G, "No Match")</f>
        <v>13.516656391282572</v>
      </c>
    </row>
    <row r="580" spans="1:20" hidden="1" x14ac:dyDescent="0.35">
      <c r="A580" t="s">
        <v>9</v>
      </c>
      <c r="B580" t="s">
        <v>52</v>
      </c>
      <c r="C580" s="3" t="s">
        <v>141</v>
      </c>
      <c r="D580" t="str">
        <f>_xlfn.XLOOKUP(Table2[[#This Row],[Female_ID ]],'19-20_female_cohort'!I:I,'19-20_female_cohort'!H:H, "No Match")</f>
        <v>2018/2019</v>
      </c>
      <c r="E580">
        <v>1</v>
      </c>
      <c r="F580" s="11">
        <v>43789</v>
      </c>
      <c r="G580">
        <f>_xlfn.XLOOKUP(Table2[[#This Row],[First_egg_lay_date]],'19-20_niwa_temp_data'!B:B,'19-20_niwa_temp_data'!G:G, "No Match")</f>
        <v>13.516656391282572</v>
      </c>
      <c r="H580">
        <v>4</v>
      </c>
      <c r="I580" s="11">
        <v>43792</v>
      </c>
      <c r="J580">
        <f>_xlfn.XLOOKUP(Table2[[#This Row],[Nest_box_ID]],Sheet1!A:A,Sheet1!L:L, "No Match")</f>
        <v>0</v>
      </c>
      <c r="K580" s="11">
        <v>43807</v>
      </c>
      <c r="L580">
        <f>_xlfn.XLOOKUP(Table2[[#This Row],[Nest_box_ID]],Sheet1!A:A,Sheet1!K:K, "No Match")</f>
        <v>15</v>
      </c>
      <c r="M580" s="11">
        <v>43793</v>
      </c>
      <c r="N580" s="16">
        <v>0.62831018518518522</v>
      </c>
      <c r="O580">
        <v>1</v>
      </c>
      <c r="P580">
        <v>17</v>
      </c>
      <c r="Q580" t="s">
        <v>320</v>
      </c>
      <c r="R580">
        <v>14</v>
      </c>
      <c r="S580">
        <f>_xlfn.XLOOKUP(Table2[[#This Row],[Obs_date]],'19-20_niwa_temp_data'!B:B,'19-20_niwa_temp_data'!G:G, "N/A")</f>
        <v>16.778557744931476</v>
      </c>
      <c r="T580">
        <f>_xlfn.XLOOKUP(Table2[[#This Row],[First_egg_lay_date]],'19-20_niwa_temp_data'!B:B,'19-20_niwa_temp_data'!G:G, "No Match")</f>
        <v>13.516656391282572</v>
      </c>
    </row>
    <row r="581" spans="1:20" hidden="1" x14ac:dyDescent="0.35">
      <c r="A581" t="s">
        <v>9</v>
      </c>
      <c r="B581" t="s">
        <v>52</v>
      </c>
      <c r="C581" s="3" t="s">
        <v>141</v>
      </c>
      <c r="D581" t="str">
        <f>_xlfn.XLOOKUP(Table2[[#This Row],[Female_ID ]],'19-20_female_cohort'!I:I,'19-20_female_cohort'!H:H, "No Match")</f>
        <v>2018/2019</v>
      </c>
      <c r="E581">
        <v>1</v>
      </c>
      <c r="F581" s="11">
        <v>43789</v>
      </c>
      <c r="G581">
        <f>_xlfn.XLOOKUP(Table2[[#This Row],[First_egg_lay_date]],'19-20_niwa_temp_data'!B:B,'19-20_niwa_temp_data'!G:G, "No Match")</f>
        <v>13.516656391282572</v>
      </c>
      <c r="H581">
        <v>4</v>
      </c>
      <c r="I581" s="11">
        <v>43792</v>
      </c>
      <c r="J581">
        <f>_xlfn.XLOOKUP(Table2[[#This Row],[Nest_box_ID]],Sheet1!A:A,Sheet1!L:L, "No Match")</f>
        <v>0</v>
      </c>
      <c r="K581" s="11">
        <v>43807</v>
      </c>
      <c r="L581">
        <f>_xlfn.XLOOKUP(Table2[[#This Row],[Nest_box_ID]],Sheet1!A:A,Sheet1!K:K, "No Match")</f>
        <v>15</v>
      </c>
      <c r="M581" s="11">
        <v>43793</v>
      </c>
      <c r="N581" s="16">
        <v>0.62847222222222221</v>
      </c>
      <c r="O581">
        <v>1</v>
      </c>
      <c r="P581">
        <v>17</v>
      </c>
      <c r="Q581" t="s">
        <v>319</v>
      </c>
      <c r="R581" t="s">
        <v>254</v>
      </c>
      <c r="S581">
        <f>_xlfn.XLOOKUP(Table2[[#This Row],[Obs_date]],'19-20_niwa_temp_data'!B:B,'19-20_niwa_temp_data'!G:G, "N/A")</f>
        <v>16.778557744931476</v>
      </c>
      <c r="T581">
        <f>_xlfn.XLOOKUP(Table2[[#This Row],[First_egg_lay_date]],'19-20_niwa_temp_data'!B:B,'19-20_niwa_temp_data'!G:G, "No Match")</f>
        <v>13.516656391282572</v>
      </c>
    </row>
    <row r="582" spans="1:20" x14ac:dyDescent="0.35">
      <c r="A582" t="s">
        <v>9</v>
      </c>
      <c r="B582" t="s">
        <v>52</v>
      </c>
      <c r="C582" s="3" t="s">
        <v>141</v>
      </c>
      <c r="D582" t="str">
        <f>_xlfn.XLOOKUP(Table2[[#This Row],[Female_ID ]],'19-20_female_cohort'!I:I,'19-20_female_cohort'!H:H, "No Match")</f>
        <v>2018/2019</v>
      </c>
      <c r="E582">
        <v>1</v>
      </c>
      <c r="F582" s="11">
        <v>43789</v>
      </c>
      <c r="G582">
        <f>_xlfn.XLOOKUP(Table2[[#This Row],[First_egg_lay_date]],'19-20_niwa_temp_data'!B:B,'19-20_niwa_temp_data'!G:G, "No Match")</f>
        <v>13.516656391282572</v>
      </c>
      <c r="H582">
        <v>4</v>
      </c>
      <c r="I582" s="11">
        <v>43792</v>
      </c>
      <c r="J582">
        <f>_xlfn.XLOOKUP(Table2[[#This Row],[Nest_box_ID]],Sheet1!A:A,Sheet1!L:L, "No Match")</f>
        <v>0</v>
      </c>
      <c r="K582" s="11">
        <v>43807</v>
      </c>
      <c r="L582">
        <f>_xlfn.XLOOKUP(Table2[[#This Row],[Nest_box_ID]],Sheet1!A:A,Sheet1!K:K, "No Match")</f>
        <v>15</v>
      </c>
      <c r="M582" s="11">
        <v>43804</v>
      </c>
      <c r="N582" s="16">
        <v>0.61738425925925922</v>
      </c>
      <c r="O582">
        <v>13</v>
      </c>
      <c r="P582">
        <v>63</v>
      </c>
      <c r="Q582" t="s">
        <v>319</v>
      </c>
      <c r="R582">
        <v>92</v>
      </c>
      <c r="S582">
        <f>_xlfn.XLOOKUP(Table2[[#This Row],[Obs_date]],'19-20_niwa_temp_data'!B:B,'19-20_niwa_temp_data'!G:G, "N/A")</f>
        <v>17.28930305130892</v>
      </c>
      <c r="T582">
        <f>_xlfn.XLOOKUP(Table2[[#This Row],[First_egg_lay_date]],'19-20_niwa_temp_data'!B:B,'19-20_niwa_temp_data'!G:G, "No Match")</f>
        <v>13.516656391282572</v>
      </c>
    </row>
    <row r="583" spans="1:20" hidden="1" x14ac:dyDescent="0.35">
      <c r="A583" t="s">
        <v>9</v>
      </c>
      <c r="B583" t="s">
        <v>52</v>
      </c>
      <c r="C583" s="3" t="s">
        <v>141</v>
      </c>
      <c r="D583" t="str">
        <f>_xlfn.XLOOKUP(Table2[[#This Row],[Female_ID ]],'19-20_female_cohort'!I:I,'19-20_female_cohort'!H:H, "No Match")</f>
        <v>2018/2019</v>
      </c>
      <c r="E583">
        <v>1</v>
      </c>
      <c r="F583" s="11">
        <v>43789</v>
      </c>
      <c r="G583">
        <f>_xlfn.XLOOKUP(Table2[[#This Row],[First_egg_lay_date]],'19-20_niwa_temp_data'!B:B,'19-20_niwa_temp_data'!G:G, "No Match")</f>
        <v>13.516656391282572</v>
      </c>
      <c r="H583">
        <v>4</v>
      </c>
      <c r="I583" s="11">
        <v>43792</v>
      </c>
      <c r="J583">
        <f>_xlfn.XLOOKUP(Table2[[#This Row],[Nest_box_ID]],Sheet1!A:A,Sheet1!L:L, "No Match")</f>
        <v>0</v>
      </c>
      <c r="K583" s="11">
        <v>43807</v>
      </c>
      <c r="L583">
        <f>_xlfn.XLOOKUP(Table2[[#This Row],[Nest_box_ID]],Sheet1!A:A,Sheet1!K:K, "No Match")</f>
        <v>15</v>
      </c>
      <c r="M583" s="11">
        <v>43804</v>
      </c>
      <c r="N583" s="16">
        <v>0.61844907407407412</v>
      </c>
      <c r="O583">
        <v>13</v>
      </c>
      <c r="P583">
        <v>63</v>
      </c>
      <c r="Q583" t="s">
        <v>320</v>
      </c>
      <c r="R583">
        <v>127</v>
      </c>
      <c r="S583">
        <f>_xlfn.XLOOKUP(Table2[[#This Row],[Obs_date]],'19-20_niwa_temp_data'!B:B,'19-20_niwa_temp_data'!G:G, "N/A")</f>
        <v>17.28930305130892</v>
      </c>
      <c r="T583">
        <f>_xlfn.XLOOKUP(Table2[[#This Row],[First_egg_lay_date]],'19-20_niwa_temp_data'!B:B,'19-20_niwa_temp_data'!G:G, "No Match")</f>
        <v>13.516656391282572</v>
      </c>
    </row>
    <row r="584" spans="1:20" x14ac:dyDescent="0.35">
      <c r="A584" t="s">
        <v>9</v>
      </c>
      <c r="B584" t="s">
        <v>52</v>
      </c>
      <c r="C584" s="3" t="s">
        <v>141</v>
      </c>
      <c r="D584" t="str">
        <f>_xlfn.XLOOKUP(Table2[[#This Row],[Female_ID ]],'19-20_female_cohort'!I:I,'19-20_female_cohort'!H:H, "No Match")</f>
        <v>2018/2019</v>
      </c>
      <c r="E584">
        <v>1</v>
      </c>
      <c r="F584" s="11">
        <v>43789</v>
      </c>
      <c r="G584">
        <f>_xlfn.XLOOKUP(Table2[[#This Row],[First_egg_lay_date]],'19-20_niwa_temp_data'!B:B,'19-20_niwa_temp_data'!G:G, "No Match")</f>
        <v>13.516656391282572</v>
      </c>
      <c r="H584">
        <v>4</v>
      </c>
      <c r="I584" s="11">
        <v>43792</v>
      </c>
      <c r="J584">
        <f>_xlfn.XLOOKUP(Table2[[#This Row],[Nest_box_ID]],Sheet1!A:A,Sheet1!L:L, "No Match")</f>
        <v>0</v>
      </c>
      <c r="K584" s="11">
        <v>43807</v>
      </c>
      <c r="L584">
        <f>_xlfn.XLOOKUP(Table2[[#This Row],[Nest_box_ID]],Sheet1!A:A,Sheet1!K:K, "No Match")</f>
        <v>15</v>
      </c>
      <c r="M584" s="11">
        <v>43804</v>
      </c>
      <c r="N584" s="16">
        <v>0.6199189814814815</v>
      </c>
      <c r="O584">
        <v>13</v>
      </c>
      <c r="P584">
        <v>63</v>
      </c>
      <c r="Q584" t="s">
        <v>319</v>
      </c>
      <c r="R584">
        <v>308</v>
      </c>
      <c r="S584">
        <f>_xlfn.XLOOKUP(Table2[[#This Row],[Obs_date]],'19-20_niwa_temp_data'!B:B,'19-20_niwa_temp_data'!G:G, "N/A")</f>
        <v>17.28930305130892</v>
      </c>
      <c r="T584">
        <f>_xlfn.XLOOKUP(Table2[[#This Row],[First_egg_lay_date]],'19-20_niwa_temp_data'!B:B,'19-20_niwa_temp_data'!G:G, "No Match")</f>
        <v>13.516656391282572</v>
      </c>
    </row>
    <row r="585" spans="1:20" hidden="1" x14ac:dyDescent="0.35">
      <c r="A585" t="s">
        <v>9</v>
      </c>
      <c r="B585" t="s">
        <v>52</v>
      </c>
      <c r="C585" s="3" t="s">
        <v>141</v>
      </c>
      <c r="D585" t="str">
        <f>_xlfn.XLOOKUP(Table2[[#This Row],[Female_ID ]],'19-20_female_cohort'!I:I,'19-20_female_cohort'!H:H, "No Match")</f>
        <v>2018/2019</v>
      </c>
      <c r="E585">
        <v>1</v>
      </c>
      <c r="F585" s="11">
        <v>43789</v>
      </c>
      <c r="G585">
        <f>_xlfn.XLOOKUP(Table2[[#This Row],[First_egg_lay_date]],'19-20_niwa_temp_data'!B:B,'19-20_niwa_temp_data'!G:G, "No Match")</f>
        <v>13.516656391282572</v>
      </c>
      <c r="H585">
        <v>4</v>
      </c>
      <c r="I585" s="11">
        <v>43792</v>
      </c>
      <c r="J585">
        <f>_xlfn.XLOOKUP(Table2[[#This Row],[Nest_box_ID]],Sheet1!A:A,Sheet1!L:L, "No Match")</f>
        <v>0</v>
      </c>
      <c r="K585" s="11">
        <v>43807</v>
      </c>
      <c r="L585">
        <f>_xlfn.XLOOKUP(Table2[[#This Row],[Nest_box_ID]],Sheet1!A:A,Sheet1!K:K, "No Match")</f>
        <v>15</v>
      </c>
      <c r="M585" s="11">
        <v>43804</v>
      </c>
      <c r="N585" s="16">
        <v>0.62348379629629624</v>
      </c>
      <c r="O585">
        <v>13</v>
      </c>
      <c r="P585">
        <v>63</v>
      </c>
      <c r="Q585" t="s">
        <v>320</v>
      </c>
      <c r="R585">
        <v>245</v>
      </c>
      <c r="S585">
        <f>_xlfn.XLOOKUP(Table2[[#This Row],[Obs_date]],'19-20_niwa_temp_data'!B:B,'19-20_niwa_temp_data'!G:G, "N/A")</f>
        <v>17.28930305130892</v>
      </c>
      <c r="T585">
        <f>_xlfn.XLOOKUP(Table2[[#This Row],[First_egg_lay_date]],'19-20_niwa_temp_data'!B:B,'19-20_niwa_temp_data'!G:G, "No Match")</f>
        <v>13.516656391282572</v>
      </c>
    </row>
    <row r="586" spans="1:20" x14ac:dyDescent="0.35">
      <c r="A586" t="s">
        <v>9</v>
      </c>
      <c r="B586" t="s">
        <v>52</v>
      </c>
      <c r="C586" s="3" t="s">
        <v>141</v>
      </c>
      <c r="D586" t="str">
        <f>_xlfn.XLOOKUP(Table2[[#This Row],[Female_ID ]],'19-20_female_cohort'!I:I,'19-20_female_cohort'!H:H, "No Match")</f>
        <v>2018/2019</v>
      </c>
      <c r="E586">
        <v>1</v>
      </c>
      <c r="F586" s="11">
        <v>43789</v>
      </c>
      <c r="G586">
        <f>_xlfn.XLOOKUP(Table2[[#This Row],[First_egg_lay_date]],'19-20_niwa_temp_data'!B:B,'19-20_niwa_temp_data'!G:G, "No Match")</f>
        <v>13.516656391282572</v>
      </c>
      <c r="H586">
        <v>4</v>
      </c>
      <c r="I586" s="11">
        <v>43792</v>
      </c>
      <c r="J586">
        <f>_xlfn.XLOOKUP(Table2[[#This Row],[Nest_box_ID]],Sheet1!A:A,Sheet1!L:L, "No Match")</f>
        <v>0</v>
      </c>
      <c r="K586" s="11">
        <v>43807</v>
      </c>
      <c r="L586">
        <f>_xlfn.XLOOKUP(Table2[[#This Row],[Nest_box_ID]],Sheet1!A:A,Sheet1!K:K, "No Match")</f>
        <v>15</v>
      </c>
      <c r="M586" s="11">
        <v>43804</v>
      </c>
      <c r="N586" s="16">
        <v>0.62631944444444443</v>
      </c>
      <c r="O586">
        <v>13</v>
      </c>
      <c r="P586">
        <v>63</v>
      </c>
      <c r="Q586" t="s">
        <v>319</v>
      </c>
      <c r="R586">
        <v>1547</v>
      </c>
      <c r="S586">
        <f>_xlfn.XLOOKUP(Table2[[#This Row],[Obs_date]],'19-20_niwa_temp_data'!B:B,'19-20_niwa_temp_data'!G:G, "N/A")</f>
        <v>17.28930305130892</v>
      </c>
      <c r="T586">
        <f>_xlfn.XLOOKUP(Table2[[#This Row],[First_egg_lay_date]],'19-20_niwa_temp_data'!B:B,'19-20_niwa_temp_data'!G:G, "No Match")</f>
        <v>13.516656391282572</v>
      </c>
    </row>
    <row r="587" spans="1:20" hidden="1" x14ac:dyDescent="0.35">
      <c r="A587" t="s">
        <v>9</v>
      </c>
      <c r="B587" t="s">
        <v>52</v>
      </c>
      <c r="C587" s="3" t="s">
        <v>141</v>
      </c>
      <c r="D587" t="str">
        <f>_xlfn.XLOOKUP(Table2[[#This Row],[Female_ID ]],'19-20_female_cohort'!I:I,'19-20_female_cohort'!H:H, "No Match")</f>
        <v>2018/2019</v>
      </c>
      <c r="E587">
        <v>1</v>
      </c>
      <c r="F587" s="11">
        <v>43789</v>
      </c>
      <c r="G587">
        <f>_xlfn.XLOOKUP(Table2[[#This Row],[First_egg_lay_date]],'19-20_niwa_temp_data'!B:B,'19-20_niwa_temp_data'!G:G, "No Match")</f>
        <v>13.516656391282572</v>
      </c>
      <c r="H587">
        <v>4</v>
      </c>
      <c r="I587" s="11">
        <v>43792</v>
      </c>
      <c r="J587">
        <f>_xlfn.XLOOKUP(Table2[[#This Row],[Nest_box_ID]],Sheet1!A:A,Sheet1!L:L, "No Match")</f>
        <v>0</v>
      </c>
      <c r="K587" s="11">
        <v>43807</v>
      </c>
      <c r="L587">
        <f>_xlfn.XLOOKUP(Table2[[#This Row],[Nest_box_ID]],Sheet1!A:A,Sheet1!K:K, "No Match")</f>
        <v>15</v>
      </c>
      <c r="M587" s="11">
        <v>43804</v>
      </c>
      <c r="N587" s="16">
        <v>0.64422453703703708</v>
      </c>
      <c r="O587">
        <v>13</v>
      </c>
      <c r="P587">
        <v>63</v>
      </c>
      <c r="Q587" t="s">
        <v>320</v>
      </c>
      <c r="R587">
        <v>589</v>
      </c>
      <c r="S587">
        <f>_xlfn.XLOOKUP(Table2[[#This Row],[Obs_date]],'19-20_niwa_temp_data'!B:B,'19-20_niwa_temp_data'!G:G, "N/A")</f>
        <v>17.28930305130892</v>
      </c>
      <c r="T587">
        <f>_xlfn.XLOOKUP(Table2[[#This Row],[First_egg_lay_date]],'19-20_niwa_temp_data'!B:B,'19-20_niwa_temp_data'!G:G, "No Match")</f>
        <v>13.516656391282572</v>
      </c>
    </row>
    <row r="588" spans="1:20" hidden="1" x14ac:dyDescent="0.35">
      <c r="A588" t="s">
        <v>9</v>
      </c>
      <c r="B588" t="s">
        <v>52</v>
      </c>
      <c r="C588" s="3" t="s">
        <v>141</v>
      </c>
      <c r="D588" t="str">
        <f>_xlfn.XLOOKUP(Table2[[#This Row],[Female_ID ]],'19-20_female_cohort'!I:I,'19-20_female_cohort'!H:H, "No Match")</f>
        <v>2018/2019</v>
      </c>
      <c r="E588">
        <v>1</v>
      </c>
      <c r="F588" s="11">
        <v>43789</v>
      </c>
      <c r="G588">
        <f>_xlfn.XLOOKUP(Table2[[#This Row],[First_egg_lay_date]],'19-20_niwa_temp_data'!B:B,'19-20_niwa_temp_data'!G:G, "No Match")</f>
        <v>13.516656391282572</v>
      </c>
      <c r="H588">
        <v>4</v>
      </c>
      <c r="I588" s="11">
        <v>43792</v>
      </c>
      <c r="J588">
        <f>_xlfn.XLOOKUP(Table2[[#This Row],[Nest_box_ID]],Sheet1!A:A,Sheet1!L:L, "No Match")</f>
        <v>0</v>
      </c>
      <c r="K588" s="11">
        <v>43807</v>
      </c>
      <c r="L588">
        <f>_xlfn.XLOOKUP(Table2[[#This Row],[Nest_box_ID]],Sheet1!A:A,Sheet1!K:K, "No Match")</f>
        <v>15</v>
      </c>
      <c r="M588" s="11">
        <v>43804</v>
      </c>
      <c r="N588" s="16">
        <v>0.65104166666666663</v>
      </c>
      <c r="O588">
        <v>13</v>
      </c>
      <c r="P588">
        <v>63</v>
      </c>
      <c r="Q588" t="s">
        <v>320</v>
      </c>
      <c r="R588" t="s">
        <v>254</v>
      </c>
      <c r="S588">
        <f>_xlfn.XLOOKUP(Table2[[#This Row],[Obs_date]],'19-20_niwa_temp_data'!B:B,'19-20_niwa_temp_data'!G:G, "N/A")</f>
        <v>17.28930305130892</v>
      </c>
      <c r="T588">
        <f>_xlfn.XLOOKUP(Table2[[#This Row],[First_egg_lay_date]],'19-20_niwa_temp_data'!B:B,'19-20_niwa_temp_data'!G:G, "No Match")</f>
        <v>13.516656391282572</v>
      </c>
    </row>
    <row r="589" spans="1:20" x14ac:dyDescent="0.35">
      <c r="A589" t="s">
        <v>9</v>
      </c>
      <c r="B589" t="s">
        <v>36</v>
      </c>
      <c r="C589" s="3" t="s">
        <v>125</v>
      </c>
      <c r="D589" t="str">
        <f>_xlfn.XLOOKUP(Table2[[#This Row],[Female_ID ]],'19-20_female_cohort'!I:I,'19-20_female_cohort'!H:H, "No Match")</f>
        <v>2015/2016</v>
      </c>
      <c r="E589">
        <v>4</v>
      </c>
      <c r="F589" s="11">
        <v>43779</v>
      </c>
      <c r="G589">
        <f>_xlfn.XLOOKUP(Table2[[#This Row],[First_egg_lay_date]],'19-20_niwa_temp_data'!B:B,'19-20_niwa_temp_data'!G:G, "No Match")</f>
        <v>17.618172436436193</v>
      </c>
      <c r="H589">
        <v>5</v>
      </c>
      <c r="I589" s="11">
        <v>43783</v>
      </c>
      <c r="J589">
        <f>_xlfn.XLOOKUP(Table2[[#This Row],[Nest_box_ID]],Sheet1!A:A,Sheet1!L:L, "No Match")</f>
        <v>0</v>
      </c>
      <c r="K589" s="11">
        <v>43797</v>
      </c>
      <c r="L589">
        <f>_xlfn.XLOOKUP(Table2[[#This Row],[Nest_box_ID]],Sheet1!A:A,Sheet1!K:K, "No Match")</f>
        <v>14</v>
      </c>
      <c r="M589" s="11">
        <v>43783</v>
      </c>
      <c r="N589" s="16">
        <v>0.69420138888888894</v>
      </c>
      <c r="O589">
        <v>1</v>
      </c>
      <c r="P589">
        <v>60</v>
      </c>
      <c r="Q589" t="s">
        <v>319</v>
      </c>
      <c r="R589">
        <v>690</v>
      </c>
      <c r="S589">
        <f>_xlfn.XLOOKUP(Table2[[#This Row],[Obs_date]],'19-20_niwa_temp_data'!B:B,'19-20_niwa_temp_data'!G:G, "N/A")</f>
        <v>16.095962226595837</v>
      </c>
      <c r="T589">
        <f>_xlfn.XLOOKUP(Table2[[#This Row],[First_egg_lay_date]],'19-20_niwa_temp_data'!B:B,'19-20_niwa_temp_data'!G:G, "No Match")</f>
        <v>17.618172436436193</v>
      </c>
    </row>
    <row r="590" spans="1:20" hidden="1" x14ac:dyDescent="0.35">
      <c r="A590" t="s">
        <v>9</v>
      </c>
      <c r="B590" t="s">
        <v>36</v>
      </c>
      <c r="C590" s="3" t="s">
        <v>125</v>
      </c>
      <c r="D590" t="str">
        <f>_xlfn.XLOOKUP(Table2[[#This Row],[Female_ID ]],'19-20_female_cohort'!I:I,'19-20_female_cohort'!H:H, "No Match")</f>
        <v>2015/2016</v>
      </c>
      <c r="E590">
        <v>4</v>
      </c>
      <c r="F590" s="11">
        <v>43779</v>
      </c>
      <c r="G590">
        <f>_xlfn.XLOOKUP(Table2[[#This Row],[First_egg_lay_date]],'19-20_niwa_temp_data'!B:B,'19-20_niwa_temp_data'!G:G, "No Match")</f>
        <v>17.618172436436193</v>
      </c>
      <c r="H590">
        <v>5</v>
      </c>
      <c r="I590" s="11">
        <v>43783</v>
      </c>
      <c r="J590">
        <f>_xlfn.XLOOKUP(Table2[[#This Row],[Nest_box_ID]],Sheet1!A:A,Sheet1!L:L, "No Match")</f>
        <v>0</v>
      </c>
      <c r="K590" s="11">
        <v>43797</v>
      </c>
      <c r="L590">
        <f>_xlfn.XLOOKUP(Table2[[#This Row],[Nest_box_ID]],Sheet1!A:A,Sheet1!K:K, "No Match")</f>
        <v>14</v>
      </c>
      <c r="M590" s="11">
        <v>43783</v>
      </c>
      <c r="N590" s="16">
        <v>0.70218749999999996</v>
      </c>
      <c r="O590">
        <v>1</v>
      </c>
      <c r="P590">
        <v>60</v>
      </c>
      <c r="Q590" t="s">
        <v>320</v>
      </c>
      <c r="R590">
        <v>1372</v>
      </c>
      <c r="S590">
        <f>_xlfn.XLOOKUP(Table2[[#This Row],[Obs_date]],'19-20_niwa_temp_data'!B:B,'19-20_niwa_temp_data'!G:G, "N/A")</f>
        <v>16.095962226595837</v>
      </c>
      <c r="T590">
        <f>_xlfn.XLOOKUP(Table2[[#This Row],[First_egg_lay_date]],'19-20_niwa_temp_data'!B:B,'19-20_niwa_temp_data'!G:G, "No Match")</f>
        <v>17.618172436436193</v>
      </c>
    </row>
    <row r="591" spans="1:20" hidden="1" x14ac:dyDescent="0.35">
      <c r="A591" t="s">
        <v>9</v>
      </c>
      <c r="B591" t="s">
        <v>36</v>
      </c>
      <c r="C591" s="3" t="s">
        <v>125</v>
      </c>
      <c r="D591" t="str">
        <f>_xlfn.XLOOKUP(Table2[[#This Row],[Female_ID ]],'19-20_female_cohort'!I:I,'19-20_female_cohort'!H:H, "No Match")</f>
        <v>2015/2016</v>
      </c>
      <c r="E591">
        <v>4</v>
      </c>
      <c r="F591" s="11">
        <v>43779</v>
      </c>
      <c r="G591">
        <f>_xlfn.XLOOKUP(Table2[[#This Row],[First_egg_lay_date]],'19-20_niwa_temp_data'!B:B,'19-20_niwa_temp_data'!G:G, "No Match")</f>
        <v>17.618172436436193</v>
      </c>
      <c r="H591">
        <v>5</v>
      </c>
      <c r="I591" s="11">
        <v>43783</v>
      </c>
      <c r="J591">
        <f>_xlfn.XLOOKUP(Table2[[#This Row],[Nest_box_ID]],Sheet1!A:A,Sheet1!L:L, "No Match")</f>
        <v>0</v>
      </c>
      <c r="K591" s="11">
        <v>43797</v>
      </c>
      <c r="L591">
        <f>_xlfn.XLOOKUP(Table2[[#This Row],[Nest_box_ID]],Sheet1!A:A,Sheet1!K:K, "No Match")</f>
        <v>14</v>
      </c>
      <c r="M591" s="11">
        <v>43783</v>
      </c>
      <c r="N591" s="16">
        <v>0.7180671296296296</v>
      </c>
      <c r="O591">
        <v>1</v>
      </c>
      <c r="P591">
        <v>60</v>
      </c>
      <c r="Q591" t="s">
        <v>319</v>
      </c>
      <c r="R591" t="s">
        <v>254</v>
      </c>
      <c r="S591">
        <f>_xlfn.XLOOKUP(Table2[[#This Row],[Obs_date]],'19-20_niwa_temp_data'!B:B,'19-20_niwa_temp_data'!G:G, "N/A")</f>
        <v>16.095962226595837</v>
      </c>
      <c r="T591">
        <f>_xlfn.XLOOKUP(Table2[[#This Row],[First_egg_lay_date]],'19-20_niwa_temp_data'!B:B,'19-20_niwa_temp_data'!G:G, "No Match")</f>
        <v>17.618172436436193</v>
      </c>
    </row>
    <row r="592" spans="1:20" x14ac:dyDescent="0.35">
      <c r="A592" t="s">
        <v>9</v>
      </c>
      <c r="B592" t="s">
        <v>36</v>
      </c>
      <c r="C592" s="3" t="s">
        <v>125</v>
      </c>
      <c r="D592" t="str">
        <f>_xlfn.XLOOKUP(Table2[[#This Row],[Female_ID ]],'19-20_female_cohort'!I:I,'19-20_female_cohort'!H:H, "No Match")</f>
        <v>2015/2016</v>
      </c>
      <c r="E592">
        <v>4</v>
      </c>
      <c r="F592" s="11">
        <v>43779</v>
      </c>
      <c r="G592">
        <f>_xlfn.XLOOKUP(Table2[[#This Row],[First_egg_lay_date]],'19-20_niwa_temp_data'!B:B,'19-20_niwa_temp_data'!G:G, "No Match")</f>
        <v>17.618172436436193</v>
      </c>
      <c r="H592">
        <v>5</v>
      </c>
      <c r="I592" s="11">
        <v>43783</v>
      </c>
      <c r="J592">
        <f>_xlfn.XLOOKUP(Table2[[#This Row],[Nest_box_ID]],Sheet1!A:A,Sheet1!L:L, "No Match")</f>
        <v>0</v>
      </c>
      <c r="K592" s="11">
        <v>43797</v>
      </c>
      <c r="L592">
        <f>_xlfn.XLOOKUP(Table2[[#This Row],[Nest_box_ID]],Sheet1!A:A,Sheet1!K:K, "No Match")</f>
        <v>14</v>
      </c>
      <c r="M592" s="11">
        <v>43790</v>
      </c>
      <c r="N592" s="16">
        <v>0.57193287037037033</v>
      </c>
      <c r="O592">
        <v>7</v>
      </c>
      <c r="P592">
        <v>0</v>
      </c>
      <c r="Q592" t="s">
        <v>319</v>
      </c>
      <c r="R592">
        <v>385</v>
      </c>
      <c r="S592">
        <f>_xlfn.XLOOKUP(Table2[[#This Row],[Obs_date]],'19-20_niwa_temp_data'!B:B,'19-20_niwa_temp_data'!G:G, "N/A")</f>
        <v>16.25176913446656</v>
      </c>
      <c r="T592">
        <f>_xlfn.XLOOKUP(Table2[[#This Row],[First_egg_lay_date]],'19-20_niwa_temp_data'!B:B,'19-20_niwa_temp_data'!G:G, "No Match")</f>
        <v>17.618172436436193</v>
      </c>
    </row>
    <row r="593" spans="1:20" hidden="1" x14ac:dyDescent="0.35">
      <c r="A593" t="s">
        <v>9</v>
      </c>
      <c r="B593" t="s">
        <v>36</v>
      </c>
      <c r="C593" s="3" t="s">
        <v>125</v>
      </c>
      <c r="D593" t="str">
        <f>_xlfn.XLOOKUP(Table2[[#This Row],[Female_ID ]],'19-20_female_cohort'!I:I,'19-20_female_cohort'!H:H, "No Match")</f>
        <v>2015/2016</v>
      </c>
      <c r="E593">
        <v>4</v>
      </c>
      <c r="F593" s="11">
        <v>43779</v>
      </c>
      <c r="G593">
        <f>_xlfn.XLOOKUP(Table2[[#This Row],[First_egg_lay_date]],'19-20_niwa_temp_data'!B:B,'19-20_niwa_temp_data'!G:G, "No Match")</f>
        <v>17.618172436436193</v>
      </c>
      <c r="H593">
        <v>5</v>
      </c>
      <c r="I593" s="11">
        <v>43783</v>
      </c>
      <c r="J593">
        <f>_xlfn.XLOOKUP(Table2[[#This Row],[Nest_box_ID]],Sheet1!A:A,Sheet1!L:L, "No Match")</f>
        <v>0</v>
      </c>
      <c r="K593" s="11">
        <v>43797</v>
      </c>
      <c r="L593">
        <f>_xlfn.XLOOKUP(Table2[[#This Row],[Nest_box_ID]],Sheet1!A:A,Sheet1!K:K, "No Match")</f>
        <v>14</v>
      </c>
      <c r="M593" s="11">
        <v>43790</v>
      </c>
      <c r="N593" s="16">
        <v>0.57638888888888884</v>
      </c>
      <c r="O593">
        <v>7</v>
      </c>
      <c r="P593">
        <v>0</v>
      </c>
      <c r="Q593" t="s">
        <v>320</v>
      </c>
      <c r="R593">
        <v>886</v>
      </c>
      <c r="S593">
        <f>_xlfn.XLOOKUP(Table2[[#This Row],[Obs_date]],'19-20_niwa_temp_data'!B:B,'19-20_niwa_temp_data'!G:G, "N/A")</f>
        <v>16.25176913446656</v>
      </c>
      <c r="T593">
        <f>_xlfn.XLOOKUP(Table2[[#This Row],[First_egg_lay_date]],'19-20_niwa_temp_data'!B:B,'19-20_niwa_temp_data'!G:G, "No Match")</f>
        <v>17.618172436436193</v>
      </c>
    </row>
    <row r="594" spans="1:20" x14ac:dyDescent="0.35">
      <c r="A594" t="s">
        <v>9</v>
      </c>
      <c r="B594" t="s">
        <v>36</v>
      </c>
      <c r="C594" s="3" t="s">
        <v>125</v>
      </c>
      <c r="D594" t="str">
        <f>_xlfn.XLOOKUP(Table2[[#This Row],[Female_ID ]],'19-20_female_cohort'!I:I,'19-20_female_cohort'!H:H, "No Match")</f>
        <v>2015/2016</v>
      </c>
      <c r="E594">
        <v>4</v>
      </c>
      <c r="F594" s="11">
        <v>43779</v>
      </c>
      <c r="G594">
        <f>_xlfn.XLOOKUP(Table2[[#This Row],[First_egg_lay_date]],'19-20_niwa_temp_data'!B:B,'19-20_niwa_temp_data'!G:G, "No Match")</f>
        <v>17.618172436436193</v>
      </c>
      <c r="H594">
        <v>5</v>
      </c>
      <c r="I594" s="11">
        <v>43783</v>
      </c>
      <c r="J594">
        <f>_xlfn.XLOOKUP(Table2[[#This Row],[Nest_box_ID]],Sheet1!A:A,Sheet1!L:L, "No Match")</f>
        <v>0</v>
      </c>
      <c r="K594" s="11">
        <v>43797</v>
      </c>
      <c r="L594">
        <f>_xlfn.XLOOKUP(Table2[[#This Row],[Nest_box_ID]],Sheet1!A:A,Sheet1!K:K, "No Match")</f>
        <v>14</v>
      </c>
      <c r="M594" s="11">
        <v>43790</v>
      </c>
      <c r="N594" s="16">
        <v>0.58664351851851848</v>
      </c>
      <c r="O594">
        <v>7</v>
      </c>
      <c r="P594">
        <v>0</v>
      </c>
      <c r="Q594" t="s">
        <v>319</v>
      </c>
      <c r="R594">
        <v>395</v>
      </c>
      <c r="S594">
        <f>_xlfn.XLOOKUP(Table2[[#This Row],[Obs_date]],'19-20_niwa_temp_data'!B:B,'19-20_niwa_temp_data'!G:G, "N/A")</f>
        <v>16.25176913446656</v>
      </c>
      <c r="T594">
        <f>_xlfn.XLOOKUP(Table2[[#This Row],[First_egg_lay_date]],'19-20_niwa_temp_data'!B:B,'19-20_niwa_temp_data'!G:G, "No Match")</f>
        <v>17.618172436436193</v>
      </c>
    </row>
    <row r="595" spans="1:20" hidden="1" x14ac:dyDescent="0.35">
      <c r="A595" t="s">
        <v>9</v>
      </c>
      <c r="B595" t="s">
        <v>36</v>
      </c>
      <c r="C595" s="3" t="s">
        <v>125</v>
      </c>
      <c r="D595" t="str">
        <f>_xlfn.XLOOKUP(Table2[[#This Row],[Female_ID ]],'19-20_female_cohort'!I:I,'19-20_female_cohort'!H:H, "No Match")</f>
        <v>2015/2016</v>
      </c>
      <c r="E595">
        <v>4</v>
      </c>
      <c r="F595" s="11">
        <v>43779</v>
      </c>
      <c r="G595">
        <f>_xlfn.XLOOKUP(Table2[[#This Row],[First_egg_lay_date]],'19-20_niwa_temp_data'!B:B,'19-20_niwa_temp_data'!G:G, "No Match")</f>
        <v>17.618172436436193</v>
      </c>
      <c r="H595">
        <v>5</v>
      </c>
      <c r="I595" s="11">
        <v>43783</v>
      </c>
      <c r="J595">
        <f>_xlfn.XLOOKUP(Table2[[#This Row],[Nest_box_ID]],Sheet1!A:A,Sheet1!L:L, "No Match")</f>
        <v>0</v>
      </c>
      <c r="K595" s="11">
        <v>43797</v>
      </c>
      <c r="L595">
        <f>_xlfn.XLOOKUP(Table2[[#This Row],[Nest_box_ID]],Sheet1!A:A,Sheet1!K:K, "No Match")</f>
        <v>14</v>
      </c>
      <c r="M595" s="11">
        <v>43790</v>
      </c>
      <c r="N595" s="16">
        <v>0.59121527777777783</v>
      </c>
      <c r="O595">
        <v>7</v>
      </c>
      <c r="P595">
        <v>0</v>
      </c>
      <c r="Q595" t="s">
        <v>320</v>
      </c>
      <c r="R595" t="s">
        <v>254</v>
      </c>
      <c r="S595">
        <f>_xlfn.XLOOKUP(Table2[[#This Row],[Obs_date]],'19-20_niwa_temp_data'!B:B,'19-20_niwa_temp_data'!G:G, "N/A")</f>
        <v>16.25176913446656</v>
      </c>
      <c r="T595">
        <f>_xlfn.XLOOKUP(Table2[[#This Row],[First_egg_lay_date]],'19-20_niwa_temp_data'!B:B,'19-20_niwa_temp_data'!G:G, "No Match")</f>
        <v>17.618172436436193</v>
      </c>
    </row>
    <row r="596" spans="1:20" x14ac:dyDescent="0.35">
      <c r="A596" t="s">
        <v>9</v>
      </c>
      <c r="B596" t="s">
        <v>36</v>
      </c>
      <c r="C596" s="3" t="s">
        <v>125</v>
      </c>
      <c r="D596" t="str">
        <f>_xlfn.XLOOKUP(Table2[[#This Row],[Female_ID ]],'19-20_female_cohort'!I:I,'19-20_female_cohort'!H:H, "No Match")</f>
        <v>2015/2016</v>
      </c>
      <c r="E596">
        <v>4</v>
      </c>
      <c r="F596" s="11">
        <v>43779</v>
      </c>
      <c r="G596">
        <f>_xlfn.XLOOKUP(Table2[[#This Row],[First_egg_lay_date]],'19-20_niwa_temp_data'!B:B,'19-20_niwa_temp_data'!G:G, "No Match")</f>
        <v>17.618172436436193</v>
      </c>
      <c r="H596">
        <v>5</v>
      </c>
      <c r="I596" s="11">
        <v>43783</v>
      </c>
      <c r="J596">
        <f>_xlfn.XLOOKUP(Table2[[#This Row],[Nest_box_ID]],Sheet1!A:A,Sheet1!L:L, "No Match")</f>
        <v>0</v>
      </c>
      <c r="K596" s="11">
        <v>43797</v>
      </c>
      <c r="L596">
        <f>_xlfn.XLOOKUP(Table2[[#This Row],[Nest_box_ID]],Sheet1!A:A,Sheet1!K:K, "No Match")</f>
        <v>14</v>
      </c>
      <c r="M596" s="11">
        <v>43796</v>
      </c>
      <c r="N596" s="16">
        <v>0.40552083333333333</v>
      </c>
      <c r="O596">
        <v>13</v>
      </c>
      <c r="P596">
        <v>57</v>
      </c>
      <c r="Q596" t="s">
        <v>319</v>
      </c>
      <c r="R596">
        <v>159</v>
      </c>
      <c r="S596">
        <f>_xlfn.XLOOKUP(Table2[[#This Row],[Obs_date]],'19-20_niwa_temp_data'!B:B,'19-20_niwa_temp_data'!G:G, "N/A")</f>
        <v>17.287857010051884</v>
      </c>
      <c r="T596">
        <f>_xlfn.XLOOKUP(Table2[[#This Row],[First_egg_lay_date]],'19-20_niwa_temp_data'!B:B,'19-20_niwa_temp_data'!G:G, "No Match")</f>
        <v>17.618172436436193</v>
      </c>
    </row>
    <row r="597" spans="1:20" hidden="1" x14ac:dyDescent="0.35">
      <c r="A597" t="s">
        <v>9</v>
      </c>
      <c r="B597" t="s">
        <v>36</v>
      </c>
      <c r="C597" s="3" t="s">
        <v>125</v>
      </c>
      <c r="D597" t="str">
        <f>_xlfn.XLOOKUP(Table2[[#This Row],[Female_ID ]],'19-20_female_cohort'!I:I,'19-20_female_cohort'!H:H, "No Match")</f>
        <v>2015/2016</v>
      </c>
      <c r="E597">
        <v>4</v>
      </c>
      <c r="F597" s="11">
        <v>43779</v>
      </c>
      <c r="G597">
        <f>_xlfn.XLOOKUP(Table2[[#This Row],[First_egg_lay_date]],'19-20_niwa_temp_data'!B:B,'19-20_niwa_temp_data'!G:G, "No Match")</f>
        <v>17.618172436436193</v>
      </c>
      <c r="H597">
        <v>5</v>
      </c>
      <c r="I597" s="11">
        <v>43783</v>
      </c>
      <c r="J597">
        <f>_xlfn.XLOOKUP(Table2[[#This Row],[Nest_box_ID]],Sheet1!A:A,Sheet1!L:L, "No Match")</f>
        <v>0</v>
      </c>
      <c r="K597" s="11">
        <v>43797</v>
      </c>
      <c r="L597">
        <f>_xlfn.XLOOKUP(Table2[[#This Row],[Nest_box_ID]],Sheet1!A:A,Sheet1!K:K, "No Match")</f>
        <v>14</v>
      </c>
      <c r="M597" s="11">
        <v>43796</v>
      </c>
      <c r="N597" s="16">
        <v>0.40736111111111112</v>
      </c>
      <c r="O597">
        <v>13</v>
      </c>
      <c r="P597">
        <v>57</v>
      </c>
      <c r="Q597" t="s">
        <v>320</v>
      </c>
      <c r="R597">
        <v>997</v>
      </c>
      <c r="S597">
        <f>_xlfn.XLOOKUP(Table2[[#This Row],[Obs_date]],'19-20_niwa_temp_data'!B:B,'19-20_niwa_temp_data'!G:G, "N/A")</f>
        <v>17.287857010051884</v>
      </c>
      <c r="T597">
        <f>_xlfn.XLOOKUP(Table2[[#This Row],[First_egg_lay_date]],'19-20_niwa_temp_data'!B:B,'19-20_niwa_temp_data'!G:G, "No Match")</f>
        <v>17.618172436436193</v>
      </c>
    </row>
    <row r="598" spans="1:20" x14ac:dyDescent="0.35">
      <c r="A598" t="s">
        <v>9</v>
      </c>
      <c r="B598" t="s">
        <v>36</v>
      </c>
      <c r="C598" s="3" t="s">
        <v>125</v>
      </c>
      <c r="D598" t="str">
        <f>_xlfn.XLOOKUP(Table2[[#This Row],[Female_ID ]],'19-20_female_cohort'!I:I,'19-20_female_cohort'!H:H, "No Match")</f>
        <v>2015/2016</v>
      </c>
      <c r="E598">
        <v>4</v>
      </c>
      <c r="F598" s="11">
        <v>43779</v>
      </c>
      <c r="G598">
        <f>_xlfn.XLOOKUP(Table2[[#This Row],[First_egg_lay_date]],'19-20_niwa_temp_data'!B:B,'19-20_niwa_temp_data'!G:G, "No Match")</f>
        <v>17.618172436436193</v>
      </c>
      <c r="H598">
        <v>5</v>
      </c>
      <c r="I598" s="11">
        <v>43783</v>
      </c>
      <c r="J598">
        <f>_xlfn.XLOOKUP(Table2[[#This Row],[Nest_box_ID]],Sheet1!A:A,Sheet1!L:L, "No Match")</f>
        <v>0</v>
      </c>
      <c r="K598" s="11">
        <v>43797</v>
      </c>
      <c r="L598">
        <f>_xlfn.XLOOKUP(Table2[[#This Row],[Nest_box_ID]],Sheet1!A:A,Sheet1!K:K, "No Match")</f>
        <v>14</v>
      </c>
      <c r="M598" s="11">
        <v>43796</v>
      </c>
      <c r="N598" s="16">
        <v>0.41890046296296296</v>
      </c>
      <c r="O598">
        <v>13</v>
      </c>
      <c r="P598">
        <v>57</v>
      </c>
      <c r="Q598" t="s">
        <v>319</v>
      </c>
      <c r="R598">
        <v>488</v>
      </c>
      <c r="S598">
        <f>_xlfn.XLOOKUP(Table2[[#This Row],[Obs_date]],'19-20_niwa_temp_data'!B:B,'19-20_niwa_temp_data'!G:G, "N/A")</f>
        <v>17.287857010051884</v>
      </c>
      <c r="T598">
        <f>_xlfn.XLOOKUP(Table2[[#This Row],[First_egg_lay_date]],'19-20_niwa_temp_data'!B:B,'19-20_niwa_temp_data'!G:G, "No Match")</f>
        <v>17.618172436436193</v>
      </c>
    </row>
    <row r="599" spans="1:20" hidden="1" x14ac:dyDescent="0.35">
      <c r="A599" t="s">
        <v>9</v>
      </c>
      <c r="B599" t="s">
        <v>36</v>
      </c>
      <c r="C599" s="3" t="s">
        <v>125</v>
      </c>
      <c r="D599" t="str">
        <f>_xlfn.XLOOKUP(Table2[[#This Row],[Female_ID ]],'19-20_female_cohort'!I:I,'19-20_female_cohort'!H:H, "No Match")</f>
        <v>2015/2016</v>
      </c>
      <c r="E599">
        <v>4</v>
      </c>
      <c r="F599" s="11">
        <v>43779</v>
      </c>
      <c r="G599">
        <f>_xlfn.XLOOKUP(Table2[[#This Row],[First_egg_lay_date]],'19-20_niwa_temp_data'!B:B,'19-20_niwa_temp_data'!G:G, "No Match")</f>
        <v>17.618172436436193</v>
      </c>
      <c r="H599">
        <v>5</v>
      </c>
      <c r="I599" s="11">
        <v>43783</v>
      </c>
      <c r="J599">
        <f>_xlfn.XLOOKUP(Table2[[#This Row],[Nest_box_ID]],Sheet1!A:A,Sheet1!L:L, "No Match")</f>
        <v>0</v>
      </c>
      <c r="K599" s="11">
        <v>43797</v>
      </c>
      <c r="L599">
        <f>_xlfn.XLOOKUP(Table2[[#This Row],[Nest_box_ID]],Sheet1!A:A,Sheet1!K:K, "No Match")</f>
        <v>14</v>
      </c>
      <c r="M599" s="11">
        <v>43796</v>
      </c>
      <c r="N599" s="16">
        <v>0.42454861111111108</v>
      </c>
      <c r="O599">
        <v>13</v>
      </c>
      <c r="P599">
        <v>57</v>
      </c>
      <c r="Q599" t="s">
        <v>320</v>
      </c>
      <c r="R599">
        <v>249</v>
      </c>
      <c r="S599">
        <f>_xlfn.XLOOKUP(Table2[[#This Row],[Obs_date]],'19-20_niwa_temp_data'!B:B,'19-20_niwa_temp_data'!G:G, "N/A")</f>
        <v>17.287857010051884</v>
      </c>
      <c r="T599">
        <f>_xlfn.XLOOKUP(Table2[[#This Row],[First_egg_lay_date]],'19-20_niwa_temp_data'!B:B,'19-20_niwa_temp_data'!G:G, "No Match")</f>
        <v>17.618172436436193</v>
      </c>
    </row>
    <row r="600" spans="1:20" x14ac:dyDescent="0.35">
      <c r="A600" t="s">
        <v>9</v>
      </c>
      <c r="B600" t="s">
        <v>36</v>
      </c>
      <c r="C600" s="3" t="s">
        <v>125</v>
      </c>
      <c r="D600" t="str">
        <f>_xlfn.XLOOKUP(Table2[[#This Row],[Female_ID ]],'19-20_female_cohort'!I:I,'19-20_female_cohort'!H:H, "No Match")</f>
        <v>2015/2016</v>
      </c>
      <c r="E600">
        <v>4</v>
      </c>
      <c r="F600" s="11">
        <v>43779</v>
      </c>
      <c r="G600">
        <f>_xlfn.XLOOKUP(Table2[[#This Row],[First_egg_lay_date]],'19-20_niwa_temp_data'!B:B,'19-20_niwa_temp_data'!G:G, "No Match")</f>
        <v>17.618172436436193</v>
      </c>
      <c r="H600">
        <v>5</v>
      </c>
      <c r="I600" s="11">
        <v>43783</v>
      </c>
      <c r="J600">
        <f>_xlfn.XLOOKUP(Table2[[#This Row],[Nest_box_ID]],Sheet1!A:A,Sheet1!L:L, "No Match")</f>
        <v>0</v>
      </c>
      <c r="K600" s="11">
        <v>43797</v>
      </c>
      <c r="L600">
        <f>_xlfn.XLOOKUP(Table2[[#This Row],[Nest_box_ID]],Sheet1!A:A,Sheet1!K:K, "No Match")</f>
        <v>14</v>
      </c>
      <c r="M600" s="11">
        <v>43796</v>
      </c>
      <c r="N600" s="16">
        <v>0.42743055555555554</v>
      </c>
      <c r="O600">
        <v>13</v>
      </c>
      <c r="P600">
        <v>57</v>
      </c>
      <c r="Q600" t="s">
        <v>319</v>
      </c>
      <c r="R600">
        <v>288</v>
      </c>
      <c r="S600">
        <f>_xlfn.XLOOKUP(Table2[[#This Row],[Obs_date]],'19-20_niwa_temp_data'!B:B,'19-20_niwa_temp_data'!G:G, "N/A")</f>
        <v>17.287857010051884</v>
      </c>
      <c r="T600">
        <f>_xlfn.XLOOKUP(Table2[[#This Row],[First_egg_lay_date]],'19-20_niwa_temp_data'!B:B,'19-20_niwa_temp_data'!G:G, "No Match")</f>
        <v>17.618172436436193</v>
      </c>
    </row>
    <row r="601" spans="1:20" hidden="1" x14ac:dyDescent="0.35">
      <c r="A601" t="s">
        <v>9</v>
      </c>
      <c r="B601" t="s">
        <v>36</v>
      </c>
      <c r="C601" s="3" t="s">
        <v>125</v>
      </c>
      <c r="D601" t="str">
        <f>_xlfn.XLOOKUP(Table2[[#This Row],[Female_ID ]],'19-20_female_cohort'!I:I,'19-20_female_cohort'!H:H, "No Match")</f>
        <v>2015/2016</v>
      </c>
      <c r="E601">
        <v>4</v>
      </c>
      <c r="F601" s="11">
        <v>43779</v>
      </c>
      <c r="G601">
        <f>_xlfn.XLOOKUP(Table2[[#This Row],[First_egg_lay_date]],'19-20_niwa_temp_data'!B:B,'19-20_niwa_temp_data'!G:G, "No Match")</f>
        <v>17.618172436436193</v>
      </c>
      <c r="H601">
        <v>5</v>
      </c>
      <c r="I601" s="11">
        <v>43783</v>
      </c>
      <c r="J601">
        <f>_xlfn.XLOOKUP(Table2[[#This Row],[Nest_box_ID]],Sheet1!A:A,Sheet1!L:L, "No Match")</f>
        <v>0</v>
      </c>
      <c r="K601" s="11">
        <v>43797</v>
      </c>
      <c r="L601">
        <f>_xlfn.XLOOKUP(Table2[[#This Row],[Nest_box_ID]],Sheet1!A:A,Sheet1!K:K, "No Match")</f>
        <v>14</v>
      </c>
      <c r="M601" s="11">
        <v>43796</v>
      </c>
      <c r="N601" s="16">
        <v>0.43076388888888889</v>
      </c>
      <c r="O601">
        <v>13</v>
      </c>
      <c r="P601">
        <v>57</v>
      </c>
      <c r="Q601" t="s">
        <v>320</v>
      </c>
      <c r="R601" t="s">
        <v>254</v>
      </c>
      <c r="S601">
        <f>_xlfn.XLOOKUP(Table2[[#This Row],[Obs_date]],'19-20_niwa_temp_data'!B:B,'19-20_niwa_temp_data'!G:G, "N/A")</f>
        <v>17.287857010051884</v>
      </c>
      <c r="T601">
        <f>_xlfn.XLOOKUP(Table2[[#This Row],[First_egg_lay_date]],'19-20_niwa_temp_data'!B:B,'19-20_niwa_temp_data'!G:G, "No Match")</f>
        <v>17.618172436436193</v>
      </c>
    </row>
    <row r="602" spans="1:20" x14ac:dyDescent="0.35">
      <c r="A602" t="s">
        <v>9</v>
      </c>
      <c r="B602" t="s">
        <v>13</v>
      </c>
      <c r="C602" s="3" t="s">
        <v>102</v>
      </c>
      <c r="D602" t="str">
        <f>_xlfn.XLOOKUP(Table2[[#This Row],[Female_ID ]],'19-20_female_cohort'!I:I,'19-20_female_cohort'!H:H, "No Match")</f>
        <v>2016/2017</v>
      </c>
      <c r="E602">
        <v>3</v>
      </c>
      <c r="F602" s="11">
        <v>43769</v>
      </c>
      <c r="G602">
        <f>_xlfn.XLOOKUP(Table2[[#This Row],[First_egg_lay_date]],'19-20_niwa_temp_data'!B:B,'19-20_niwa_temp_data'!G:G, "No Match")</f>
        <v>13.451393979807447</v>
      </c>
      <c r="H602">
        <v>4</v>
      </c>
      <c r="I602" s="11">
        <v>43772</v>
      </c>
      <c r="J602">
        <f>_xlfn.XLOOKUP(Table2[[#This Row],[Nest_box_ID]],Sheet1!A:A,Sheet1!L:L, "No Match")</f>
        <v>0</v>
      </c>
      <c r="K602" s="11">
        <v>43786</v>
      </c>
      <c r="L602">
        <f>_xlfn.XLOOKUP(Table2[[#This Row],[Nest_box_ID]],Sheet1!A:A,Sheet1!K:K, "No Match")</f>
        <v>14</v>
      </c>
      <c r="M602" s="11">
        <v>43779</v>
      </c>
      <c r="N602" s="16">
        <v>0.56479166666666669</v>
      </c>
      <c r="O602">
        <v>7</v>
      </c>
      <c r="P602">
        <v>60</v>
      </c>
      <c r="Q602" t="s">
        <v>319</v>
      </c>
      <c r="R602">
        <v>416</v>
      </c>
      <c r="S602">
        <f>_xlfn.XLOOKUP(Table2[[#This Row],[Obs_date]],'19-20_niwa_temp_data'!B:B,'19-20_niwa_temp_data'!G:G, "N/A")</f>
        <v>17.618172436436193</v>
      </c>
      <c r="T602">
        <f>_xlfn.XLOOKUP(Table2[[#This Row],[First_egg_lay_date]],'19-20_niwa_temp_data'!B:B,'19-20_niwa_temp_data'!G:G, "No Match")</f>
        <v>13.451393979807447</v>
      </c>
    </row>
    <row r="603" spans="1:20" hidden="1" x14ac:dyDescent="0.35">
      <c r="A603" t="s">
        <v>9</v>
      </c>
      <c r="B603" t="s">
        <v>13</v>
      </c>
      <c r="C603" s="3" t="s">
        <v>102</v>
      </c>
      <c r="D603" t="str">
        <f>_xlfn.XLOOKUP(Table2[[#This Row],[Female_ID ]],'19-20_female_cohort'!I:I,'19-20_female_cohort'!H:H, "No Match")</f>
        <v>2016/2017</v>
      </c>
      <c r="E603">
        <v>3</v>
      </c>
      <c r="F603" s="11">
        <v>43769</v>
      </c>
      <c r="G603">
        <f>_xlfn.XLOOKUP(Table2[[#This Row],[First_egg_lay_date]],'19-20_niwa_temp_data'!B:B,'19-20_niwa_temp_data'!G:G, "No Match")</f>
        <v>13.451393979807447</v>
      </c>
      <c r="H603">
        <v>4</v>
      </c>
      <c r="I603" s="11">
        <v>43772</v>
      </c>
      <c r="J603">
        <f>_xlfn.XLOOKUP(Table2[[#This Row],[Nest_box_ID]],Sheet1!A:A,Sheet1!L:L, "No Match")</f>
        <v>0</v>
      </c>
      <c r="K603" s="11">
        <v>43786</v>
      </c>
      <c r="L603">
        <f>_xlfn.XLOOKUP(Table2[[#This Row],[Nest_box_ID]],Sheet1!A:A,Sheet1!K:K, "No Match")</f>
        <v>14</v>
      </c>
      <c r="M603" s="11">
        <v>43779</v>
      </c>
      <c r="N603" s="16">
        <v>0.56960648148148152</v>
      </c>
      <c r="O603">
        <v>7</v>
      </c>
      <c r="P603">
        <v>60</v>
      </c>
      <c r="Q603" t="s">
        <v>320</v>
      </c>
      <c r="R603">
        <v>1695</v>
      </c>
      <c r="S603">
        <f>_xlfn.XLOOKUP(Table2[[#This Row],[Obs_date]],'19-20_niwa_temp_data'!B:B,'19-20_niwa_temp_data'!G:G, "N/A")</f>
        <v>17.618172436436193</v>
      </c>
      <c r="T603">
        <f>_xlfn.XLOOKUP(Table2[[#This Row],[First_egg_lay_date]],'19-20_niwa_temp_data'!B:B,'19-20_niwa_temp_data'!G:G, "No Match")</f>
        <v>13.451393979807447</v>
      </c>
    </row>
    <row r="604" spans="1:20" x14ac:dyDescent="0.35">
      <c r="A604" t="s">
        <v>9</v>
      </c>
      <c r="B604" t="s">
        <v>13</v>
      </c>
      <c r="C604" s="3" t="s">
        <v>102</v>
      </c>
      <c r="D604" t="str">
        <f>_xlfn.XLOOKUP(Table2[[#This Row],[Female_ID ]],'19-20_female_cohort'!I:I,'19-20_female_cohort'!H:H, "No Match")</f>
        <v>2016/2017</v>
      </c>
      <c r="E604">
        <v>3</v>
      </c>
      <c r="F604" s="11">
        <v>43769</v>
      </c>
      <c r="G604">
        <f>_xlfn.XLOOKUP(Table2[[#This Row],[First_egg_lay_date]],'19-20_niwa_temp_data'!B:B,'19-20_niwa_temp_data'!G:G, "No Match")</f>
        <v>13.451393979807447</v>
      </c>
      <c r="H604">
        <v>4</v>
      </c>
      <c r="I604" s="11">
        <v>43772</v>
      </c>
      <c r="J604">
        <f>_xlfn.XLOOKUP(Table2[[#This Row],[Nest_box_ID]],Sheet1!A:A,Sheet1!L:L, "No Match")</f>
        <v>0</v>
      </c>
      <c r="K604" s="11">
        <v>43786</v>
      </c>
      <c r="L604">
        <f>_xlfn.XLOOKUP(Table2[[#This Row],[Nest_box_ID]],Sheet1!A:A,Sheet1!K:K, "No Match")</f>
        <v>14</v>
      </c>
      <c r="M604" s="11">
        <v>43779</v>
      </c>
      <c r="N604" s="16">
        <v>0.58922453703703703</v>
      </c>
      <c r="O604">
        <v>7</v>
      </c>
      <c r="P604">
        <v>60</v>
      </c>
      <c r="Q604" t="s">
        <v>319</v>
      </c>
      <c r="R604">
        <v>399</v>
      </c>
      <c r="S604">
        <f>_xlfn.XLOOKUP(Table2[[#This Row],[Obs_date]],'19-20_niwa_temp_data'!B:B,'19-20_niwa_temp_data'!G:G, "N/A")</f>
        <v>17.618172436436193</v>
      </c>
      <c r="T604">
        <f>_xlfn.XLOOKUP(Table2[[#This Row],[First_egg_lay_date]],'19-20_niwa_temp_data'!B:B,'19-20_niwa_temp_data'!G:G, "No Match")</f>
        <v>13.451393979807447</v>
      </c>
    </row>
    <row r="605" spans="1:20" hidden="1" x14ac:dyDescent="0.35">
      <c r="A605" t="s">
        <v>9</v>
      </c>
      <c r="B605" t="s">
        <v>13</v>
      </c>
      <c r="C605" s="3" t="s">
        <v>102</v>
      </c>
      <c r="D605" t="str">
        <f>_xlfn.XLOOKUP(Table2[[#This Row],[Female_ID ]],'19-20_female_cohort'!I:I,'19-20_female_cohort'!H:H, "No Match")</f>
        <v>2016/2017</v>
      </c>
      <c r="E605">
        <v>3</v>
      </c>
      <c r="F605" s="11">
        <v>43769</v>
      </c>
      <c r="G605">
        <f>_xlfn.XLOOKUP(Table2[[#This Row],[First_egg_lay_date]],'19-20_niwa_temp_data'!B:B,'19-20_niwa_temp_data'!G:G, "No Match")</f>
        <v>13.451393979807447</v>
      </c>
      <c r="H605">
        <v>4</v>
      </c>
      <c r="I605" s="11">
        <v>43772</v>
      </c>
      <c r="J605">
        <f>_xlfn.XLOOKUP(Table2[[#This Row],[Nest_box_ID]],Sheet1!A:A,Sheet1!L:L, "No Match")</f>
        <v>0</v>
      </c>
      <c r="K605" s="11">
        <v>43786</v>
      </c>
      <c r="L605">
        <f>_xlfn.XLOOKUP(Table2[[#This Row],[Nest_box_ID]],Sheet1!A:A,Sheet1!K:K, "No Match")</f>
        <v>14</v>
      </c>
      <c r="M605" s="11">
        <v>43779</v>
      </c>
      <c r="N605" s="16">
        <v>0.59384259259259264</v>
      </c>
      <c r="O605">
        <v>7</v>
      </c>
      <c r="P605">
        <v>60</v>
      </c>
      <c r="Q605" t="s">
        <v>320</v>
      </c>
      <c r="R605" t="s">
        <v>254</v>
      </c>
      <c r="S605">
        <f>_xlfn.XLOOKUP(Table2[[#This Row],[Obs_date]],'19-20_niwa_temp_data'!B:B,'19-20_niwa_temp_data'!G:G, "N/A")</f>
        <v>17.618172436436193</v>
      </c>
      <c r="T605">
        <f>_xlfn.XLOOKUP(Table2[[#This Row],[First_egg_lay_date]],'19-20_niwa_temp_data'!B:B,'19-20_niwa_temp_data'!G:G, "No Match")</f>
        <v>13.451393979807447</v>
      </c>
    </row>
    <row r="606" spans="1:20" hidden="1" x14ac:dyDescent="0.35">
      <c r="A606" t="s">
        <v>9</v>
      </c>
      <c r="B606" t="s">
        <v>21</v>
      </c>
      <c r="C606" s="3" t="s">
        <v>110</v>
      </c>
      <c r="D606" t="str">
        <f>_xlfn.XLOOKUP(Table2[[#This Row],[Female_ID ]],'19-20_female_cohort'!I:I,'19-20_female_cohort'!H:H, "No Match")</f>
        <v>2017/2018</v>
      </c>
      <c r="E606">
        <v>2</v>
      </c>
      <c r="F606" s="11">
        <v>43772</v>
      </c>
      <c r="G606">
        <f>_xlfn.XLOOKUP(Table2[[#This Row],[First_egg_lay_date]],'19-20_niwa_temp_data'!B:B,'19-20_niwa_temp_data'!G:G, "No Match")</f>
        <v>14.419431334140747</v>
      </c>
      <c r="H606">
        <v>4</v>
      </c>
      <c r="I606" s="11">
        <v>43775</v>
      </c>
      <c r="J606">
        <f>_xlfn.XLOOKUP(Table2[[#This Row],[Nest_box_ID]],Sheet1!A:A,Sheet1!L:L, "No Match")</f>
        <v>0</v>
      </c>
      <c r="K606" s="11">
        <v>43789</v>
      </c>
      <c r="L606">
        <f>_xlfn.XLOOKUP(Table2[[#This Row],[Nest_box_ID]],Sheet1!A:A,Sheet1!K:K, "No Match")</f>
        <v>14</v>
      </c>
      <c r="M606" s="11">
        <v>43776</v>
      </c>
      <c r="N606" s="16">
        <v>0.64027777777777772</v>
      </c>
      <c r="O606">
        <v>2</v>
      </c>
      <c r="P606">
        <v>65.366666670000001</v>
      </c>
      <c r="Q606" t="s">
        <v>320</v>
      </c>
      <c r="R606" t="s">
        <v>254</v>
      </c>
      <c r="S606">
        <f>_xlfn.XLOOKUP(Table2[[#This Row],[Obs_date]],'19-20_niwa_temp_data'!B:B,'19-20_niwa_temp_data'!G:G, "N/A")</f>
        <v>17.675972391922318</v>
      </c>
      <c r="T606">
        <f>_xlfn.XLOOKUP(Table2[[#This Row],[First_egg_lay_date]],'19-20_niwa_temp_data'!B:B,'19-20_niwa_temp_data'!G:G, "No Match")</f>
        <v>14.419431334140747</v>
      </c>
    </row>
    <row r="607" spans="1:20" x14ac:dyDescent="0.35">
      <c r="A607" t="s">
        <v>9</v>
      </c>
      <c r="B607" t="s">
        <v>21</v>
      </c>
      <c r="C607" s="3" t="s">
        <v>110</v>
      </c>
      <c r="D607" t="str">
        <f>_xlfn.XLOOKUP(Table2[[#This Row],[Female_ID ]],'19-20_female_cohort'!I:I,'19-20_female_cohort'!H:H, "No Match")</f>
        <v>2017/2018</v>
      </c>
      <c r="E607">
        <v>2</v>
      </c>
      <c r="F607" s="11">
        <v>43772</v>
      </c>
      <c r="G607">
        <f>_xlfn.XLOOKUP(Table2[[#This Row],[First_egg_lay_date]],'19-20_niwa_temp_data'!B:B,'19-20_niwa_temp_data'!G:G, "No Match")</f>
        <v>14.419431334140747</v>
      </c>
      <c r="H607">
        <v>4</v>
      </c>
      <c r="I607" s="11">
        <v>43775</v>
      </c>
      <c r="J607">
        <f>_xlfn.XLOOKUP(Table2[[#This Row],[Nest_box_ID]],Sheet1!A:A,Sheet1!L:L, "No Match")</f>
        <v>0</v>
      </c>
      <c r="K607" s="11">
        <v>43789</v>
      </c>
      <c r="L607">
        <f>_xlfn.XLOOKUP(Table2[[#This Row],[Nest_box_ID]],Sheet1!A:A,Sheet1!K:K, "No Match")</f>
        <v>14</v>
      </c>
      <c r="M607" s="11">
        <v>43776</v>
      </c>
      <c r="N607" s="16">
        <v>0.64328703703703705</v>
      </c>
      <c r="O607">
        <v>2</v>
      </c>
      <c r="P607">
        <v>65.366666670000001</v>
      </c>
      <c r="Q607" t="s">
        <v>319</v>
      </c>
      <c r="R607">
        <v>1000</v>
      </c>
      <c r="S607">
        <f>_xlfn.XLOOKUP(Table2[[#This Row],[Obs_date]],'19-20_niwa_temp_data'!B:B,'19-20_niwa_temp_data'!G:G, "N/A")</f>
        <v>17.675972391922318</v>
      </c>
      <c r="T607">
        <f>_xlfn.XLOOKUP(Table2[[#This Row],[First_egg_lay_date]],'19-20_niwa_temp_data'!B:B,'19-20_niwa_temp_data'!G:G, "No Match")</f>
        <v>14.419431334140747</v>
      </c>
    </row>
    <row r="608" spans="1:20" hidden="1" x14ac:dyDescent="0.35">
      <c r="A608" t="s">
        <v>9</v>
      </c>
      <c r="B608" t="s">
        <v>21</v>
      </c>
      <c r="C608" s="3" t="s">
        <v>110</v>
      </c>
      <c r="D608" t="str">
        <f>_xlfn.XLOOKUP(Table2[[#This Row],[Female_ID ]],'19-20_female_cohort'!I:I,'19-20_female_cohort'!H:H, "No Match")</f>
        <v>2017/2018</v>
      </c>
      <c r="E608">
        <v>2</v>
      </c>
      <c r="F608" s="11">
        <v>43772</v>
      </c>
      <c r="G608">
        <f>_xlfn.XLOOKUP(Table2[[#This Row],[First_egg_lay_date]],'19-20_niwa_temp_data'!B:B,'19-20_niwa_temp_data'!G:G, "No Match")</f>
        <v>14.419431334140747</v>
      </c>
      <c r="H608">
        <v>4</v>
      </c>
      <c r="I608" s="11">
        <v>43775</v>
      </c>
      <c r="J608">
        <f>_xlfn.XLOOKUP(Table2[[#This Row],[Nest_box_ID]],Sheet1!A:A,Sheet1!L:L, "No Match")</f>
        <v>0</v>
      </c>
      <c r="K608" s="11">
        <v>43789</v>
      </c>
      <c r="L608">
        <f>_xlfn.XLOOKUP(Table2[[#This Row],[Nest_box_ID]],Sheet1!A:A,Sheet1!K:K, "No Match")</f>
        <v>14</v>
      </c>
      <c r="M608" s="11">
        <v>43776</v>
      </c>
      <c r="N608" s="16">
        <v>0.65486111111111112</v>
      </c>
      <c r="O608">
        <v>2</v>
      </c>
      <c r="P608">
        <v>65.366666670000001</v>
      </c>
      <c r="Q608" t="s">
        <v>320</v>
      </c>
      <c r="R608">
        <v>2163</v>
      </c>
      <c r="S608">
        <f>_xlfn.XLOOKUP(Table2[[#This Row],[Obs_date]],'19-20_niwa_temp_data'!B:B,'19-20_niwa_temp_data'!G:G, "N/A")</f>
        <v>17.675972391922318</v>
      </c>
      <c r="T608">
        <f>_xlfn.XLOOKUP(Table2[[#This Row],[First_egg_lay_date]],'19-20_niwa_temp_data'!B:B,'19-20_niwa_temp_data'!G:G, "No Match")</f>
        <v>14.419431334140747</v>
      </c>
    </row>
    <row r="609" spans="1:20" x14ac:dyDescent="0.35">
      <c r="A609" t="s">
        <v>9</v>
      </c>
      <c r="B609" t="s">
        <v>21</v>
      </c>
      <c r="C609" s="3" t="s">
        <v>110</v>
      </c>
      <c r="D609" t="str">
        <f>_xlfn.XLOOKUP(Table2[[#This Row],[Female_ID ]],'19-20_female_cohort'!I:I,'19-20_female_cohort'!H:H, "No Match")</f>
        <v>2017/2018</v>
      </c>
      <c r="E609">
        <v>2</v>
      </c>
      <c r="F609" s="11">
        <v>43772</v>
      </c>
      <c r="G609">
        <f>_xlfn.XLOOKUP(Table2[[#This Row],[First_egg_lay_date]],'19-20_niwa_temp_data'!B:B,'19-20_niwa_temp_data'!G:G, "No Match")</f>
        <v>14.419431334140747</v>
      </c>
      <c r="H609">
        <v>4</v>
      </c>
      <c r="I609" s="11">
        <v>43775</v>
      </c>
      <c r="J609">
        <f>_xlfn.XLOOKUP(Table2[[#This Row],[Nest_box_ID]],Sheet1!A:A,Sheet1!L:L, "No Match")</f>
        <v>0</v>
      </c>
      <c r="K609" s="11">
        <v>43789</v>
      </c>
      <c r="L609">
        <f>_xlfn.XLOOKUP(Table2[[#This Row],[Nest_box_ID]],Sheet1!A:A,Sheet1!K:K, "No Match")</f>
        <v>14</v>
      </c>
      <c r="M609" s="11">
        <v>43776</v>
      </c>
      <c r="N609" s="16">
        <v>0.67989583333333337</v>
      </c>
      <c r="O609">
        <v>2</v>
      </c>
      <c r="P609">
        <v>65.366666670000001</v>
      </c>
      <c r="Q609" t="s">
        <v>319</v>
      </c>
      <c r="R609">
        <v>44</v>
      </c>
      <c r="S609">
        <f>_xlfn.XLOOKUP(Table2[[#This Row],[Obs_date]],'19-20_niwa_temp_data'!B:B,'19-20_niwa_temp_data'!G:G, "N/A")</f>
        <v>17.675972391922318</v>
      </c>
      <c r="T609">
        <f>_xlfn.XLOOKUP(Table2[[#This Row],[First_egg_lay_date]],'19-20_niwa_temp_data'!B:B,'19-20_niwa_temp_data'!G:G, "No Match")</f>
        <v>14.419431334140747</v>
      </c>
    </row>
    <row r="610" spans="1:20" hidden="1" x14ac:dyDescent="0.35">
      <c r="A610" t="s">
        <v>9</v>
      </c>
      <c r="B610" t="s">
        <v>21</v>
      </c>
      <c r="C610" s="3" t="s">
        <v>110</v>
      </c>
      <c r="D610" t="str">
        <f>_xlfn.XLOOKUP(Table2[[#This Row],[Female_ID ]],'19-20_female_cohort'!I:I,'19-20_female_cohort'!H:H, "No Match")</f>
        <v>2017/2018</v>
      </c>
      <c r="E610">
        <v>2</v>
      </c>
      <c r="F610" s="11">
        <v>43772</v>
      </c>
      <c r="G610">
        <f>_xlfn.XLOOKUP(Table2[[#This Row],[First_egg_lay_date]],'19-20_niwa_temp_data'!B:B,'19-20_niwa_temp_data'!G:G, "No Match")</f>
        <v>14.419431334140747</v>
      </c>
      <c r="H610">
        <v>4</v>
      </c>
      <c r="I610" s="11">
        <v>43775</v>
      </c>
      <c r="J610">
        <f>_xlfn.XLOOKUP(Table2[[#This Row],[Nest_box_ID]],Sheet1!A:A,Sheet1!L:L, "No Match")</f>
        <v>0</v>
      </c>
      <c r="K610" s="11">
        <v>43789</v>
      </c>
      <c r="L610">
        <f>_xlfn.XLOOKUP(Table2[[#This Row],[Nest_box_ID]],Sheet1!A:A,Sheet1!K:K, "No Match")</f>
        <v>14</v>
      </c>
      <c r="M610" s="11">
        <v>43776</v>
      </c>
      <c r="N610" s="16">
        <v>0.68040509259259263</v>
      </c>
      <c r="O610">
        <v>2</v>
      </c>
      <c r="P610">
        <v>65.366666670000001</v>
      </c>
      <c r="Q610" t="s">
        <v>320</v>
      </c>
      <c r="R610">
        <v>455</v>
      </c>
      <c r="S610">
        <f>_xlfn.XLOOKUP(Table2[[#This Row],[Obs_date]],'19-20_niwa_temp_data'!B:B,'19-20_niwa_temp_data'!G:G, "N/A")</f>
        <v>17.675972391922318</v>
      </c>
      <c r="T610">
        <f>_xlfn.XLOOKUP(Table2[[#This Row],[First_egg_lay_date]],'19-20_niwa_temp_data'!B:B,'19-20_niwa_temp_data'!G:G, "No Match")</f>
        <v>14.419431334140747</v>
      </c>
    </row>
    <row r="611" spans="1:20" hidden="1" x14ac:dyDescent="0.35">
      <c r="A611" t="s">
        <v>9</v>
      </c>
      <c r="B611" t="s">
        <v>21</v>
      </c>
      <c r="C611" s="3" t="s">
        <v>110</v>
      </c>
      <c r="D611" t="str">
        <f>_xlfn.XLOOKUP(Table2[[#This Row],[Female_ID ]],'19-20_female_cohort'!I:I,'19-20_female_cohort'!H:H, "No Match")</f>
        <v>2017/2018</v>
      </c>
      <c r="E611">
        <v>2</v>
      </c>
      <c r="F611" s="11">
        <v>43772</v>
      </c>
      <c r="G611">
        <f>_xlfn.XLOOKUP(Table2[[#This Row],[First_egg_lay_date]],'19-20_niwa_temp_data'!B:B,'19-20_niwa_temp_data'!G:G, "No Match")</f>
        <v>14.419431334140747</v>
      </c>
      <c r="H611">
        <v>4</v>
      </c>
      <c r="I611" s="11">
        <v>43775</v>
      </c>
      <c r="J611">
        <f>_xlfn.XLOOKUP(Table2[[#This Row],[Nest_box_ID]],Sheet1!A:A,Sheet1!L:L, "No Match")</f>
        <v>0</v>
      </c>
      <c r="K611" s="11">
        <v>43789</v>
      </c>
      <c r="L611">
        <f>_xlfn.XLOOKUP(Table2[[#This Row],[Nest_box_ID]],Sheet1!A:A,Sheet1!K:K, "No Match")</f>
        <v>14</v>
      </c>
      <c r="M611" s="11">
        <v>43776</v>
      </c>
      <c r="N611" s="16">
        <v>0.68567129629629631</v>
      </c>
      <c r="O611">
        <v>2</v>
      </c>
      <c r="P611">
        <v>65.366666670000001</v>
      </c>
      <c r="Q611" t="s">
        <v>319</v>
      </c>
      <c r="R611" t="s">
        <v>254</v>
      </c>
      <c r="S611">
        <f>_xlfn.XLOOKUP(Table2[[#This Row],[Obs_date]],'19-20_niwa_temp_data'!B:B,'19-20_niwa_temp_data'!G:G, "N/A")</f>
        <v>17.675972391922318</v>
      </c>
      <c r="T611">
        <f>_xlfn.XLOOKUP(Table2[[#This Row],[First_egg_lay_date]],'19-20_niwa_temp_data'!B:B,'19-20_niwa_temp_data'!G:G, "No Match")</f>
        <v>14.419431334140747</v>
      </c>
    </row>
    <row r="612" spans="1:20" x14ac:dyDescent="0.35">
      <c r="A612" t="s">
        <v>9</v>
      </c>
      <c r="B612" t="s">
        <v>21</v>
      </c>
      <c r="C612" s="3" t="s">
        <v>110</v>
      </c>
      <c r="D612" t="str">
        <f>_xlfn.XLOOKUP(Table2[[#This Row],[Female_ID ]],'19-20_female_cohort'!I:I,'19-20_female_cohort'!H:H, "No Match")</f>
        <v>2017/2018</v>
      </c>
      <c r="E612">
        <v>2</v>
      </c>
      <c r="F612" s="11">
        <v>43772</v>
      </c>
      <c r="G612">
        <f>_xlfn.XLOOKUP(Table2[[#This Row],[First_egg_lay_date]],'19-20_niwa_temp_data'!B:B,'19-20_niwa_temp_data'!G:G, "No Match")</f>
        <v>14.419431334140747</v>
      </c>
      <c r="H612">
        <v>4</v>
      </c>
      <c r="I612" s="11">
        <v>43775</v>
      </c>
      <c r="J612">
        <f>_xlfn.XLOOKUP(Table2[[#This Row],[Nest_box_ID]],Sheet1!A:A,Sheet1!L:L, "No Match")</f>
        <v>0</v>
      </c>
      <c r="K612" s="11">
        <v>43789</v>
      </c>
      <c r="L612">
        <f>_xlfn.XLOOKUP(Table2[[#This Row],[Nest_box_ID]],Sheet1!A:A,Sheet1!K:K, "No Match")</f>
        <v>14</v>
      </c>
      <c r="M612" s="11">
        <v>43776</v>
      </c>
      <c r="N612" s="16">
        <v>0.64328703703703705</v>
      </c>
      <c r="O612">
        <v>1</v>
      </c>
      <c r="P612">
        <v>61</v>
      </c>
      <c r="Q612" t="s">
        <v>319</v>
      </c>
      <c r="R612">
        <v>1000</v>
      </c>
      <c r="S612">
        <f>_xlfn.XLOOKUP(Table2[[#This Row],[Obs_date]],'19-20_niwa_temp_data'!B:B,'19-20_niwa_temp_data'!G:G, "N/A")</f>
        <v>17.675972391922318</v>
      </c>
      <c r="T612">
        <f>_xlfn.XLOOKUP(Table2[[#This Row],[First_egg_lay_date]],'19-20_niwa_temp_data'!B:B,'19-20_niwa_temp_data'!G:G, "No Match")</f>
        <v>14.419431334140747</v>
      </c>
    </row>
    <row r="613" spans="1:20" hidden="1" x14ac:dyDescent="0.35">
      <c r="A613" t="s">
        <v>9</v>
      </c>
      <c r="B613" t="s">
        <v>21</v>
      </c>
      <c r="C613" s="3" t="s">
        <v>110</v>
      </c>
      <c r="D613" t="str">
        <f>_xlfn.XLOOKUP(Table2[[#This Row],[Female_ID ]],'19-20_female_cohort'!I:I,'19-20_female_cohort'!H:H, "No Match")</f>
        <v>2017/2018</v>
      </c>
      <c r="E613">
        <v>2</v>
      </c>
      <c r="F613" s="11">
        <v>43772</v>
      </c>
      <c r="G613">
        <f>_xlfn.XLOOKUP(Table2[[#This Row],[First_egg_lay_date]],'19-20_niwa_temp_data'!B:B,'19-20_niwa_temp_data'!G:G, "No Match")</f>
        <v>14.419431334140747</v>
      </c>
      <c r="H613">
        <v>4</v>
      </c>
      <c r="I613" s="11">
        <v>43775</v>
      </c>
      <c r="J613">
        <f>_xlfn.XLOOKUP(Table2[[#This Row],[Nest_box_ID]],Sheet1!A:A,Sheet1!L:L, "No Match")</f>
        <v>0</v>
      </c>
      <c r="K613" s="11">
        <v>43789</v>
      </c>
      <c r="L613">
        <f>_xlfn.XLOOKUP(Table2[[#This Row],[Nest_box_ID]],Sheet1!A:A,Sheet1!K:K, "No Match")</f>
        <v>14</v>
      </c>
      <c r="M613" s="11">
        <v>43776</v>
      </c>
      <c r="N613" s="16">
        <v>0.65486111111111112</v>
      </c>
      <c r="O613">
        <v>1</v>
      </c>
      <c r="P613">
        <v>61</v>
      </c>
      <c r="Q613" t="s">
        <v>320</v>
      </c>
      <c r="R613">
        <v>2163</v>
      </c>
      <c r="S613">
        <f>_xlfn.XLOOKUP(Table2[[#This Row],[Obs_date]],'19-20_niwa_temp_data'!B:B,'19-20_niwa_temp_data'!G:G, "N/A")</f>
        <v>17.675972391922318</v>
      </c>
      <c r="T613">
        <f>_xlfn.XLOOKUP(Table2[[#This Row],[First_egg_lay_date]],'19-20_niwa_temp_data'!B:B,'19-20_niwa_temp_data'!G:G, "No Match")</f>
        <v>14.419431334140747</v>
      </c>
    </row>
    <row r="614" spans="1:20" x14ac:dyDescent="0.35">
      <c r="A614" t="s">
        <v>9</v>
      </c>
      <c r="B614" t="s">
        <v>21</v>
      </c>
      <c r="C614" s="3" t="s">
        <v>110</v>
      </c>
      <c r="D614" t="str">
        <f>_xlfn.XLOOKUP(Table2[[#This Row],[Female_ID ]],'19-20_female_cohort'!I:I,'19-20_female_cohort'!H:H, "No Match")</f>
        <v>2017/2018</v>
      </c>
      <c r="E614">
        <v>2</v>
      </c>
      <c r="F614" s="11">
        <v>43772</v>
      </c>
      <c r="G614">
        <f>_xlfn.XLOOKUP(Table2[[#This Row],[First_egg_lay_date]],'19-20_niwa_temp_data'!B:B,'19-20_niwa_temp_data'!G:G, "No Match")</f>
        <v>14.419431334140747</v>
      </c>
      <c r="H614">
        <v>4</v>
      </c>
      <c r="I614" s="11">
        <v>43775</v>
      </c>
      <c r="J614">
        <f>_xlfn.XLOOKUP(Table2[[#This Row],[Nest_box_ID]],Sheet1!A:A,Sheet1!L:L, "No Match")</f>
        <v>0</v>
      </c>
      <c r="K614" s="11">
        <v>43789</v>
      </c>
      <c r="L614">
        <f>_xlfn.XLOOKUP(Table2[[#This Row],[Nest_box_ID]],Sheet1!A:A,Sheet1!K:K, "No Match")</f>
        <v>14</v>
      </c>
      <c r="M614" s="11">
        <v>43776</v>
      </c>
      <c r="N614" s="16">
        <v>0.67989583333333337</v>
      </c>
      <c r="O614">
        <v>1</v>
      </c>
      <c r="P614">
        <v>61</v>
      </c>
      <c r="Q614" t="s">
        <v>319</v>
      </c>
      <c r="R614">
        <v>44</v>
      </c>
      <c r="S614">
        <f>_xlfn.XLOOKUP(Table2[[#This Row],[Obs_date]],'19-20_niwa_temp_data'!B:B,'19-20_niwa_temp_data'!G:G, "N/A")</f>
        <v>17.675972391922318</v>
      </c>
      <c r="T614">
        <f>_xlfn.XLOOKUP(Table2[[#This Row],[First_egg_lay_date]],'19-20_niwa_temp_data'!B:B,'19-20_niwa_temp_data'!G:G, "No Match")</f>
        <v>14.419431334140747</v>
      </c>
    </row>
    <row r="615" spans="1:20" hidden="1" x14ac:dyDescent="0.35">
      <c r="A615" t="s">
        <v>9</v>
      </c>
      <c r="B615" t="s">
        <v>21</v>
      </c>
      <c r="C615" s="3" t="s">
        <v>110</v>
      </c>
      <c r="D615" t="str">
        <f>_xlfn.XLOOKUP(Table2[[#This Row],[Female_ID ]],'19-20_female_cohort'!I:I,'19-20_female_cohort'!H:H, "No Match")</f>
        <v>2017/2018</v>
      </c>
      <c r="E615">
        <v>2</v>
      </c>
      <c r="F615" s="11">
        <v>43772</v>
      </c>
      <c r="G615">
        <f>_xlfn.XLOOKUP(Table2[[#This Row],[First_egg_lay_date]],'19-20_niwa_temp_data'!B:B,'19-20_niwa_temp_data'!G:G, "No Match")</f>
        <v>14.419431334140747</v>
      </c>
      <c r="H615">
        <v>4</v>
      </c>
      <c r="I615" s="11">
        <v>43775</v>
      </c>
      <c r="J615">
        <f>_xlfn.XLOOKUP(Table2[[#This Row],[Nest_box_ID]],Sheet1!A:A,Sheet1!L:L, "No Match")</f>
        <v>0</v>
      </c>
      <c r="K615" s="11">
        <v>43789</v>
      </c>
      <c r="L615">
        <f>_xlfn.XLOOKUP(Table2[[#This Row],[Nest_box_ID]],Sheet1!A:A,Sheet1!K:K, "No Match")</f>
        <v>14</v>
      </c>
      <c r="M615" s="11">
        <v>43776</v>
      </c>
      <c r="N615" s="16">
        <v>0.68040509259259263</v>
      </c>
      <c r="O615">
        <v>1</v>
      </c>
      <c r="P615">
        <v>61</v>
      </c>
      <c r="Q615" t="s">
        <v>320</v>
      </c>
      <c r="R615">
        <v>2413</v>
      </c>
      <c r="S615">
        <f>_xlfn.XLOOKUP(Table2[[#This Row],[Obs_date]],'19-20_niwa_temp_data'!B:B,'19-20_niwa_temp_data'!G:G, "N/A")</f>
        <v>17.675972391922318</v>
      </c>
      <c r="T615">
        <f>_xlfn.XLOOKUP(Table2[[#This Row],[First_egg_lay_date]],'19-20_niwa_temp_data'!B:B,'19-20_niwa_temp_data'!G:G, "No Match")</f>
        <v>14.419431334140747</v>
      </c>
    </row>
    <row r="616" spans="1:20" x14ac:dyDescent="0.35">
      <c r="A616" t="s">
        <v>9</v>
      </c>
      <c r="B616" t="s">
        <v>21</v>
      </c>
      <c r="C616" s="3" t="s">
        <v>110</v>
      </c>
      <c r="D616" t="str">
        <f>_xlfn.XLOOKUP(Table2[[#This Row],[Female_ID ]],'19-20_female_cohort'!I:I,'19-20_female_cohort'!H:H, "No Match")</f>
        <v>2017/2018</v>
      </c>
      <c r="E616">
        <v>2</v>
      </c>
      <c r="F616" s="11">
        <v>43772</v>
      </c>
      <c r="G616">
        <f>_xlfn.XLOOKUP(Table2[[#This Row],[First_egg_lay_date]],'19-20_niwa_temp_data'!B:B,'19-20_niwa_temp_data'!G:G, "No Match")</f>
        <v>14.419431334140747</v>
      </c>
      <c r="H616">
        <v>4</v>
      </c>
      <c r="I616" s="11">
        <v>43775</v>
      </c>
      <c r="J616">
        <f>_xlfn.XLOOKUP(Table2[[#This Row],[Nest_box_ID]],Sheet1!A:A,Sheet1!L:L, "No Match")</f>
        <v>0</v>
      </c>
      <c r="K616" s="11">
        <v>43789</v>
      </c>
      <c r="L616">
        <f>_xlfn.XLOOKUP(Table2[[#This Row],[Nest_box_ID]],Sheet1!A:A,Sheet1!K:K, "No Match")</f>
        <v>14</v>
      </c>
      <c r="M616" s="11">
        <v>43782</v>
      </c>
      <c r="N616" s="16">
        <v>0.36136574074074074</v>
      </c>
      <c r="O616">
        <v>7</v>
      </c>
      <c r="P616">
        <v>63</v>
      </c>
      <c r="Q616" t="s">
        <v>319</v>
      </c>
      <c r="R616">
        <v>276</v>
      </c>
      <c r="S616">
        <f>_xlfn.XLOOKUP(Table2[[#This Row],[Obs_date]],'19-20_niwa_temp_data'!B:B,'19-20_niwa_temp_data'!G:G, "N/A")</f>
        <v>11.944873377311289</v>
      </c>
      <c r="T616">
        <f>_xlfn.XLOOKUP(Table2[[#This Row],[First_egg_lay_date]],'19-20_niwa_temp_data'!B:B,'19-20_niwa_temp_data'!G:G, "No Match")</f>
        <v>14.419431334140747</v>
      </c>
    </row>
    <row r="617" spans="1:20" hidden="1" x14ac:dyDescent="0.35">
      <c r="A617" t="s">
        <v>9</v>
      </c>
      <c r="B617" t="s">
        <v>21</v>
      </c>
      <c r="C617" s="3" t="s">
        <v>110</v>
      </c>
      <c r="D617" t="str">
        <f>_xlfn.XLOOKUP(Table2[[#This Row],[Female_ID ]],'19-20_female_cohort'!I:I,'19-20_female_cohort'!H:H, "No Match")</f>
        <v>2017/2018</v>
      </c>
      <c r="E617">
        <v>2</v>
      </c>
      <c r="F617" s="11">
        <v>43772</v>
      </c>
      <c r="G617">
        <f>_xlfn.XLOOKUP(Table2[[#This Row],[First_egg_lay_date]],'19-20_niwa_temp_data'!B:B,'19-20_niwa_temp_data'!G:G, "No Match")</f>
        <v>14.419431334140747</v>
      </c>
      <c r="H617">
        <v>4</v>
      </c>
      <c r="I617" s="11">
        <v>43775</v>
      </c>
      <c r="J617">
        <f>_xlfn.XLOOKUP(Table2[[#This Row],[Nest_box_ID]],Sheet1!A:A,Sheet1!L:L, "No Match")</f>
        <v>0</v>
      </c>
      <c r="K617" s="11">
        <v>43789</v>
      </c>
      <c r="L617">
        <f>_xlfn.XLOOKUP(Table2[[#This Row],[Nest_box_ID]],Sheet1!A:A,Sheet1!K:K, "No Match")</f>
        <v>14</v>
      </c>
      <c r="M617" s="11">
        <v>43782</v>
      </c>
      <c r="N617" s="16">
        <v>0.36456018518518518</v>
      </c>
      <c r="O617">
        <v>7</v>
      </c>
      <c r="P617">
        <v>63</v>
      </c>
      <c r="Q617" t="s">
        <v>320</v>
      </c>
      <c r="R617">
        <v>912</v>
      </c>
      <c r="S617">
        <f>_xlfn.XLOOKUP(Table2[[#This Row],[Obs_date]],'19-20_niwa_temp_data'!B:B,'19-20_niwa_temp_data'!G:G, "N/A")</f>
        <v>11.944873377311289</v>
      </c>
      <c r="T617">
        <f>_xlfn.XLOOKUP(Table2[[#This Row],[First_egg_lay_date]],'19-20_niwa_temp_data'!B:B,'19-20_niwa_temp_data'!G:G, "No Match")</f>
        <v>14.419431334140747</v>
      </c>
    </row>
    <row r="618" spans="1:20" x14ac:dyDescent="0.35">
      <c r="A618" t="s">
        <v>9</v>
      </c>
      <c r="B618" t="s">
        <v>21</v>
      </c>
      <c r="C618" s="3" t="s">
        <v>110</v>
      </c>
      <c r="D618" t="str">
        <f>_xlfn.XLOOKUP(Table2[[#This Row],[Female_ID ]],'19-20_female_cohort'!I:I,'19-20_female_cohort'!H:H, "No Match")</f>
        <v>2017/2018</v>
      </c>
      <c r="E618">
        <v>2</v>
      </c>
      <c r="F618" s="11">
        <v>43772</v>
      </c>
      <c r="G618">
        <f>_xlfn.XLOOKUP(Table2[[#This Row],[First_egg_lay_date]],'19-20_niwa_temp_data'!B:B,'19-20_niwa_temp_data'!G:G, "No Match")</f>
        <v>14.419431334140747</v>
      </c>
      <c r="H618">
        <v>4</v>
      </c>
      <c r="I618" s="11">
        <v>43775</v>
      </c>
      <c r="J618">
        <f>_xlfn.XLOOKUP(Table2[[#This Row],[Nest_box_ID]],Sheet1!A:A,Sheet1!L:L, "No Match")</f>
        <v>0</v>
      </c>
      <c r="K618" s="11">
        <v>43789</v>
      </c>
      <c r="L618">
        <f>_xlfn.XLOOKUP(Table2[[#This Row],[Nest_box_ID]],Sheet1!A:A,Sheet1!K:K, "No Match")</f>
        <v>14</v>
      </c>
      <c r="M618" s="11">
        <v>43782</v>
      </c>
      <c r="N618" s="16">
        <v>0.37511574074074072</v>
      </c>
      <c r="O618">
        <v>7</v>
      </c>
      <c r="P618">
        <v>63</v>
      </c>
      <c r="Q618" t="s">
        <v>319</v>
      </c>
      <c r="R618">
        <v>65</v>
      </c>
      <c r="S618">
        <f>_xlfn.XLOOKUP(Table2[[#This Row],[Obs_date]],'19-20_niwa_temp_data'!B:B,'19-20_niwa_temp_data'!G:G, "N/A")</f>
        <v>11.944873377311289</v>
      </c>
      <c r="T618">
        <f>_xlfn.XLOOKUP(Table2[[#This Row],[First_egg_lay_date]],'19-20_niwa_temp_data'!B:B,'19-20_niwa_temp_data'!G:G, "No Match")</f>
        <v>14.419431334140747</v>
      </c>
    </row>
    <row r="619" spans="1:20" hidden="1" x14ac:dyDescent="0.35">
      <c r="A619" t="s">
        <v>9</v>
      </c>
      <c r="B619" t="s">
        <v>21</v>
      </c>
      <c r="C619" s="3" t="s">
        <v>110</v>
      </c>
      <c r="D619" t="str">
        <f>_xlfn.XLOOKUP(Table2[[#This Row],[Female_ID ]],'19-20_female_cohort'!I:I,'19-20_female_cohort'!H:H, "No Match")</f>
        <v>2017/2018</v>
      </c>
      <c r="E619">
        <v>2</v>
      </c>
      <c r="F619" s="11">
        <v>43772</v>
      </c>
      <c r="G619">
        <f>_xlfn.XLOOKUP(Table2[[#This Row],[First_egg_lay_date]],'19-20_niwa_temp_data'!B:B,'19-20_niwa_temp_data'!G:G, "No Match")</f>
        <v>14.419431334140747</v>
      </c>
      <c r="H619">
        <v>4</v>
      </c>
      <c r="I619" s="11">
        <v>43775</v>
      </c>
      <c r="J619">
        <f>_xlfn.XLOOKUP(Table2[[#This Row],[Nest_box_ID]],Sheet1!A:A,Sheet1!L:L, "No Match")</f>
        <v>0</v>
      </c>
      <c r="K619" s="11">
        <v>43789</v>
      </c>
      <c r="L619">
        <f>_xlfn.XLOOKUP(Table2[[#This Row],[Nest_box_ID]],Sheet1!A:A,Sheet1!K:K, "No Match")</f>
        <v>14</v>
      </c>
      <c r="M619" s="11">
        <v>43782</v>
      </c>
      <c r="N619" s="16">
        <v>0.37586805555555558</v>
      </c>
      <c r="O619">
        <v>7</v>
      </c>
      <c r="P619">
        <v>63</v>
      </c>
      <c r="Q619" t="s">
        <v>320</v>
      </c>
      <c r="R619">
        <v>138</v>
      </c>
      <c r="S619">
        <f>_xlfn.XLOOKUP(Table2[[#This Row],[Obs_date]],'19-20_niwa_temp_data'!B:B,'19-20_niwa_temp_data'!G:G, "N/A")</f>
        <v>11.944873377311289</v>
      </c>
      <c r="T619">
        <f>_xlfn.XLOOKUP(Table2[[#This Row],[First_egg_lay_date]],'19-20_niwa_temp_data'!B:B,'19-20_niwa_temp_data'!G:G, "No Match")</f>
        <v>14.419431334140747</v>
      </c>
    </row>
    <row r="620" spans="1:20" x14ac:dyDescent="0.35">
      <c r="A620" t="s">
        <v>9</v>
      </c>
      <c r="B620" t="s">
        <v>21</v>
      </c>
      <c r="C620" s="3" t="s">
        <v>110</v>
      </c>
      <c r="D620" t="str">
        <f>_xlfn.XLOOKUP(Table2[[#This Row],[Female_ID ]],'19-20_female_cohort'!I:I,'19-20_female_cohort'!H:H, "No Match")</f>
        <v>2017/2018</v>
      </c>
      <c r="E620">
        <v>2</v>
      </c>
      <c r="F620" s="11">
        <v>43772</v>
      </c>
      <c r="G620">
        <f>_xlfn.XLOOKUP(Table2[[#This Row],[First_egg_lay_date]],'19-20_niwa_temp_data'!B:B,'19-20_niwa_temp_data'!G:G, "No Match")</f>
        <v>14.419431334140747</v>
      </c>
      <c r="H620">
        <v>4</v>
      </c>
      <c r="I620" s="11">
        <v>43775</v>
      </c>
      <c r="J620">
        <f>_xlfn.XLOOKUP(Table2[[#This Row],[Nest_box_ID]],Sheet1!A:A,Sheet1!L:L, "No Match")</f>
        <v>0</v>
      </c>
      <c r="K620" s="11">
        <v>43789</v>
      </c>
      <c r="L620">
        <f>_xlfn.XLOOKUP(Table2[[#This Row],[Nest_box_ID]],Sheet1!A:A,Sheet1!K:K, "No Match")</f>
        <v>14</v>
      </c>
      <c r="M620" s="11">
        <v>43782</v>
      </c>
      <c r="N620" s="16">
        <v>0.37746527777777777</v>
      </c>
      <c r="O620">
        <v>7</v>
      </c>
      <c r="P620">
        <v>63</v>
      </c>
      <c r="Q620" t="s">
        <v>319</v>
      </c>
      <c r="R620">
        <v>401</v>
      </c>
      <c r="S620">
        <f>_xlfn.XLOOKUP(Table2[[#This Row],[Obs_date]],'19-20_niwa_temp_data'!B:B,'19-20_niwa_temp_data'!G:G, "N/A")</f>
        <v>11.944873377311289</v>
      </c>
      <c r="T620">
        <f>_xlfn.XLOOKUP(Table2[[#This Row],[First_egg_lay_date]],'19-20_niwa_temp_data'!B:B,'19-20_niwa_temp_data'!G:G, "No Match")</f>
        <v>14.419431334140747</v>
      </c>
    </row>
    <row r="621" spans="1:20" hidden="1" x14ac:dyDescent="0.35">
      <c r="A621" t="s">
        <v>9</v>
      </c>
      <c r="B621" t="s">
        <v>21</v>
      </c>
      <c r="C621" s="3" t="s">
        <v>110</v>
      </c>
      <c r="D621" t="str">
        <f>_xlfn.XLOOKUP(Table2[[#This Row],[Female_ID ]],'19-20_female_cohort'!I:I,'19-20_female_cohort'!H:H, "No Match")</f>
        <v>2017/2018</v>
      </c>
      <c r="E621">
        <v>2</v>
      </c>
      <c r="F621" s="11">
        <v>43772</v>
      </c>
      <c r="G621">
        <f>_xlfn.XLOOKUP(Table2[[#This Row],[First_egg_lay_date]],'19-20_niwa_temp_data'!B:B,'19-20_niwa_temp_data'!G:G, "No Match")</f>
        <v>14.419431334140747</v>
      </c>
      <c r="H621">
        <v>4</v>
      </c>
      <c r="I621" s="11">
        <v>43775</v>
      </c>
      <c r="J621">
        <f>_xlfn.XLOOKUP(Table2[[#This Row],[Nest_box_ID]],Sheet1!A:A,Sheet1!L:L, "No Match")</f>
        <v>0</v>
      </c>
      <c r="K621" s="11">
        <v>43789</v>
      </c>
      <c r="L621">
        <f>_xlfn.XLOOKUP(Table2[[#This Row],[Nest_box_ID]],Sheet1!A:A,Sheet1!K:K, "No Match")</f>
        <v>14</v>
      </c>
      <c r="M621" s="11">
        <v>43782</v>
      </c>
      <c r="N621" s="16">
        <v>0.38210648148148146</v>
      </c>
      <c r="O621">
        <v>7</v>
      </c>
      <c r="P621">
        <v>63</v>
      </c>
      <c r="Q621" t="s">
        <v>320</v>
      </c>
      <c r="R621" t="s">
        <v>254</v>
      </c>
      <c r="S621">
        <f>_xlfn.XLOOKUP(Table2[[#This Row],[Obs_date]],'19-20_niwa_temp_data'!B:B,'19-20_niwa_temp_data'!G:G, "N/A")</f>
        <v>11.944873377311289</v>
      </c>
      <c r="T621">
        <f>_xlfn.XLOOKUP(Table2[[#This Row],[First_egg_lay_date]],'19-20_niwa_temp_data'!B:B,'19-20_niwa_temp_data'!G:G, "No Match")</f>
        <v>14.419431334140747</v>
      </c>
    </row>
    <row r="622" spans="1:20" x14ac:dyDescent="0.35">
      <c r="A622" t="s">
        <v>9</v>
      </c>
      <c r="B622" t="s">
        <v>21</v>
      </c>
      <c r="C622" s="3" t="s">
        <v>110</v>
      </c>
      <c r="D622" t="str">
        <f>_xlfn.XLOOKUP(Table2[[#This Row],[Female_ID ]],'19-20_female_cohort'!I:I,'19-20_female_cohort'!H:H, "No Match")</f>
        <v>2017/2018</v>
      </c>
      <c r="E622">
        <v>2</v>
      </c>
      <c r="F622" s="11">
        <v>43772</v>
      </c>
      <c r="G622">
        <f>_xlfn.XLOOKUP(Table2[[#This Row],[First_egg_lay_date]],'19-20_niwa_temp_data'!B:B,'19-20_niwa_temp_data'!G:G, "No Match")</f>
        <v>14.419431334140747</v>
      </c>
      <c r="H622">
        <v>4</v>
      </c>
      <c r="I622" s="11">
        <v>43775</v>
      </c>
      <c r="J622">
        <f>_xlfn.XLOOKUP(Table2[[#This Row],[Nest_box_ID]],Sheet1!A:A,Sheet1!L:L, "No Match")</f>
        <v>0</v>
      </c>
      <c r="K622" s="11">
        <v>43789</v>
      </c>
      <c r="L622">
        <f>_xlfn.XLOOKUP(Table2[[#This Row],[Nest_box_ID]],Sheet1!A:A,Sheet1!K:K, "No Match")</f>
        <v>14</v>
      </c>
      <c r="M622" s="11">
        <v>43788</v>
      </c>
      <c r="N622" s="16">
        <v>0.45775462962962965</v>
      </c>
      <c r="O622">
        <v>13</v>
      </c>
      <c r="P622">
        <v>68</v>
      </c>
      <c r="Q622" t="s">
        <v>319</v>
      </c>
      <c r="R622">
        <v>181</v>
      </c>
      <c r="S622">
        <f>_xlfn.XLOOKUP(Table2[[#This Row],[Obs_date]],'19-20_niwa_temp_data'!B:B,'19-20_niwa_temp_data'!G:G, "N/A")</f>
        <v>14.974979131871937</v>
      </c>
      <c r="T622">
        <f>_xlfn.XLOOKUP(Table2[[#This Row],[First_egg_lay_date]],'19-20_niwa_temp_data'!B:B,'19-20_niwa_temp_data'!G:G, "No Match")</f>
        <v>14.419431334140747</v>
      </c>
    </row>
    <row r="623" spans="1:20" hidden="1" x14ac:dyDescent="0.35">
      <c r="A623" t="s">
        <v>9</v>
      </c>
      <c r="B623" t="s">
        <v>21</v>
      </c>
      <c r="C623" s="3" t="s">
        <v>110</v>
      </c>
      <c r="D623" t="str">
        <f>_xlfn.XLOOKUP(Table2[[#This Row],[Female_ID ]],'19-20_female_cohort'!I:I,'19-20_female_cohort'!H:H, "No Match")</f>
        <v>2017/2018</v>
      </c>
      <c r="E623">
        <v>2</v>
      </c>
      <c r="F623" s="11">
        <v>43772</v>
      </c>
      <c r="G623">
        <f>_xlfn.XLOOKUP(Table2[[#This Row],[First_egg_lay_date]],'19-20_niwa_temp_data'!B:B,'19-20_niwa_temp_data'!G:G, "No Match")</f>
        <v>14.419431334140747</v>
      </c>
      <c r="H623">
        <v>4</v>
      </c>
      <c r="I623" s="11">
        <v>43775</v>
      </c>
      <c r="J623">
        <f>_xlfn.XLOOKUP(Table2[[#This Row],[Nest_box_ID]],Sheet1!A:A,Sheet1!L:L, "No Match")</f>
        <v>0</v>
      </c>
      <c r="K623" s="11">
        <v>43789</v>
      </c>
      <c r="L623">
        <f>_xlfn.XLOOKUP(Table2[[#This Row],[Nest_box_ID]],Sheet1!A:A,Sheet1!K:K, "No Match")</f>
        <v>14</v>
      </c>
      <c r="M623" s="11">
        <v>43788</v>
      </c>
      <c r="N623" s="16">
        <v>0.45984953703703701</v>
      </c>
      <c r="O623">
        <v>13</v>
      </c>
      <c r="P623">
        <v>68</v>
      </c>
      <c r="Q623" t="s">
        <v>320</v>
      </c>
      <c r="R623">
        <v>289</v>
      </c>
      <c r="S623">
        <f>_xlfn.XLOOKUP(Table2[[#This Row],[Obs_date]],'19-20_niwa_temp_data'!B:B,'19-20_niwa_temp_data'!G:G, "N/A")</f>
        <v>14.974979131871937</v>
      </c>
      <c r="T623">
        <f>_xlfn.XLOOKUP(Table2[[#This Row],[First_egg_lay_date]],'19-20_niwa_temp_data'!B:B,'19-20_niwa_temp_data'!G:G, "No Match")</f>
        <v>14.419431334140747</v>
      </c>
    </row>
    <row r="624" spans="1:20" x14ac:dyDescent="0.35">
      <c r="A624" t="s">
        <v>9</v>
      </c>
      <c r="B624" t="s">
        <v>21</v>
      </c>
      <c r="C624" s="3" t="s">
        <v>110</v>
      </c>
      <c r="D624" t="str">
        <f>_xlfn.XLOOKUP(Table2[[#This Row],[Female_ID ]],'19-20_female_cohort'!I:I,'19-20_female_cohort'!H:H, "No Match")</f>
        <v>2017/2018</v>
      </c>
      <c r="E624">
        <v>2</v>
      </c>
      <c r="F624" s="11">
        <v>43772</v>
      </c>
      <c r="G624">
        <f>_xlfn.XLOOKUP(Table2[[#This Row],[First_egg_lay_date]],'19-20_niwa_temp_data'!B:B,'19-20_niwa_temp_data'!G:G, "No Match")</f>
        <v>14.419431334140747</v>
      </c>
      <c r="H624">
        <v>4</v>
      </c>
      <c r="I624" s="11">
        <v>43775</v>
      </c>
      <c r="J624">
        <f>_xlfn.XLOOKUP(Table2[[#This Row],[Nest_box_ID]],Sheet1!A:A,Sheet1!L:L, "No Match")</f>
        <v>0</v>
      </c>
      <c r="K624" s="11">
        <v>43789</v>
      </c>
      <c r="L624">
        <f>_xlfn.XLOOKUP(Table2[[#This Row],[Nest_box_ID]],Sheet1!A:A,Sheet1!K:K, "No Match")</f>
        <v>14</v>
      </c>
      <c r="M624" s="11">
        <v>43788</v>
      </c>
      <c r="N624" s="16">
        <v>0.46319444444444446</v>
      </c>
      <c r="O624">
        <v>13</v>
      </c>
      <c r="P624">
        <v>68</v>
      </c>
      <c r="Q624" t="s">
        <v>319</v>
      </c>
      <c r="R624">
        <v>507</v>
      </c>
      <c r="S624">
        <f>_xlfn.XLOOKUP(Table2[[#This Row],[Obs_date]],'19-20_niwa_temp_data'!B:B,'19-20_niwa_temp_data'!G:G, "N/A")</f>
        <v>14.974979131871937</v>
      </c>
      <c r="T624">
        <f>_xlfn.XLOOKUP(Table2[[#This Row],[First_egg_lay_date]],'19-20_niwa_temp_data'!B:B,'19-20_niwa_temp_data'!G:G, "No Match")</f>
        <v>14.419431334140747</v>
      </c>
    </row>
    <row r="625" spans="1:20" hidden="1" x14ac:dyDescent="0.35">
      <c r="A625" t="s">
        <v>9</v>
      </c>
      <c r="B625" t="s">
        <v>21</v>
      </c>
      <c r="C625" s="3" t="s">
        <v>110</v>
      </c>
      <c r="D625" t="str">
        <f>_xlfn.XLOOKUP(Table2[[#This Row],[Female_ID ]],'19-20_female_cohort'!I:I,'19-20_female_cohort'!H:H, "No Match")</f>
        <v>2017/2018</v>
      </c>
      <c r="E625">
        <v>2</v>
      </c>
      <c r="F625" s="11">
        <v>43772</v>
      </c>
      <c r="G625">
        <f>_xlfn.XLOOKUP(Table2[[#This Row],[First_egg_lay_date]],'19-20_niwa_temp_data'!B:B,'19-20_niwa_temp_data'!G:G, "No Match")</f>
        <v>14.419431334140747</v>
      </c>
      <c r="H625">
        <v>4</v>
      </c>
      <c r="I625" s="11">
        <v>43775</v>
      </c>
      <c r="J625">
        <f>_xlfn.XLOOKUP(Table2[[#This Row],[Nest_box_ID]],Sheet1!A:A,Sheet1!L:L, "No Match")</f>
        <v>0</v>
      </c>
      <c r="K625" s="11">
        <v>43789</v>
      </c>
      <c r="L625">
        <f>_xlfn.XLOOKUP(Table2[[#This Row],[Nest_box_ID]],Sheet1!A:A,Sheet1!K:K, "No Match")</f>
        <v>14</v>
      </c>
      <c r="M625" s="11">
        <v>43788</v>
      </c>
      <c r="N625" s="16">
        <v>0.46906249999999999</v>
      </c>
      <c r="O625">
        <v>13</v>
      </c>
      <c r="P625">
        <v>68</v>
      </c>
      <c r="Q625" t="s">
        <v>320</v>
      </c>
      <c r="R625" t="s">
        <v>254</v>
      </c>
      <c r="S625">
        <f>_xlfn.XLOOKUP(Table2[[#This Row],[Obs_date]],'19-20_niwa_temp_data'!B:B,'19-20_niwa_temp_data'!G:G, "N/A")</f>
        <v>14.974979131871937</v>
      </c>
      <c r="T625">
        <f>_xlfn.XLOOKUP(Table2[[#This Row],[First_egg_lay_date]],'19-20_niwa_temp_data'!B:B,'19-20_niwa_temp_data'!G:G, "No Match")</f>
        <v>14.419431334140747</v>
      </c>
    </row>
    <row r="626" spans="1:20" x14ac:dyDescent="0.35">
      <c r="A626" t="s">
        <v>9</v>
      </c>
      <c r="B626" t="s">
        <v>24</v>
      </c>
      <c r="C626" s="3" t="s">
        <v>113</v>
      </c>
      <c r="D626" t="str">
        <f>_xlfn.XLOOKUP(Table2[[#This Row],[Female_ID ]],'19-20_female_cohort'!I:I,'19-20_female_cohort'!H:H, "No Match")</f>
        <v>2015/2016</v>
      </c>
      <c r="E626">
        <v>4</v>
      </c>
      <c r="F626" s="11">
        <v>43774</v>
      </c>
      <c r="G626">
        <f>_xlfn.XLOOKUP(Table2[[#This Row],[First_egg_lay_date]],'19-20_niwa_temp_data'!B:B,'19-20_niwa_temp_data'!G:G, "No Match")</f>
        <v>16.129166128476697</v>
      </c>
      <c r="H626">
        <v>5</v>
      </c>
      <c r="I626" s="11">
        <v>43778</v>
      </c>
      <c r="J626">
        <f>_xlfn.XLOOKUP(Table2[[#This Row],[Nest_box_ID]],Sheet1!A:A,Sheet1!L:L, "No Match")</f>
        <v>0</v>
      </c>
      <c r="K626" s="11">
        <v>43792</v>
      </c>
      <c r="L626">
        <f>_xlfn.XLOOKUP(Table2[[#This Row],[Nest_box_ID]],Sheet1!A:A,Sheet1!K:K, "No Match")</f>
        <v>14</v>
      </c>
      <c r="M626" s="11">
        <v>43778</v>
      </c>
      <c r="N626" s="16">
        <v>0.55577546296296299</v>
      </c>
      <c r="O626">
        <v>1</v>
      </c>
      <c r="P626">
        <v>60</v>
      </c>
      <c r="Q626" t="s">
        <v>319</v>
      </c>
      <c r="R626">
        <v>772</v>
      </c>
      <c r="S626">
        <f>_xlfn.XLOOKUP(Table2[[#This Row],[Obs_date]],'19-20_niwa_temp_data'!B:B,'19-20_niwa_temp_data'!G:G, "N/A")</f>
        <v>17.764290022401685</v>
      </c>
      <c r="T626">
        <f>_xlfn.XLOOKUP(Table2[[#This Row],[First_egg_lay_date]],'19-20_niwa_temp_data'!B:B,'19-20_niwa_temp_data'!G:G, "No Match")</f>
        <v>16.129166128476697</v>
      </c>
    </row>
    <row r="627" spans="1:20" x14ac:dyDescent="0.35">
      <c r="A627" t="s">
        <v>9</v>
      </c>
      <c r="B627" t="s">
        <v>24</v>
      </c>
      <c r="C627" s="3" t="s">
        <v>113</v>
      </c>
      <c r="D627" t="str">
        <f>_xlfn.XLOOKUP(Table2[[#This Row],[Female_ID ]],'19-20_female_cohort'!I:I,'19-20_female_cohort'!H:H, "No Match")</f>
        <v>2015/2016</v>
      </c>
      <c r="E627">
        <v>4</v>
      </c>
      <c r="F627" s="11">
        <v>43774</v>
      </c>
      <c r="G627">
        <f>_xlfn.XLOOKUP(Table2[[#This Row],[First_egg_lay_date]],'19-20_niwa_temp_data'!B:B,'19-20_niwa_temp_data'!G:G, "No Match")</f>
        <v>16.129166128476697</v>
      </c>
      <c r="H627">
        <v>5</v>
      </c>
      <c r="I627" s="11">
        <v>43778</v>
      </c>
      <c r="J627">
        <f>_xlfn.XLOOKUP(Table2[[#This Row],[Nest_box_ID]],Sheet1!A:A,Sheet1!L:L, "No Match")</f>
        <v>0</v>
      </c>
      <c r="K627" s="11">
        <v>43792</v>
      </c>
      <c r="L627">
        <f>_xlfn.XLOOKUP(Table2[[#This Row],[Nest_box_ID]],Sheet1!A:A,Sheet1!K:K, "No Match")</f>
        <v>14</v>
      </c>
      <c r="M627" s="11">
        <v>43778</v>
      </c>
      <c r="N627" s="16">
        <v>0.5647106481481482</v>
      </c>
      <c r="O627">
        <v>1</v>
      </c>
      <c r="P627">
        <v>60</v>
      </c>
      <c r="Q627" t="s">
        <v>319</v>
      </c>
      <c r="R627">
        <v>237</v>
      </c>
      <c r="S627">
        <f>_xlfn.XLOOKUP(Table2[[#This Row],[Obs_date]],'19-20_niwa_temp_data'!B:B,'19-20_niwa_temp_data'!G:G, "N/A")</f>
        <v>17.764290022401685</v>
      </c>
      <c r="T627">
        <f>_xlfn.XLOOKUP(Table2[[#This Row],[First_egg_lay_date]],'19-20_niwa_temp_data'!B:B,'19-20_niwa_temp_data'!G:G, "No Match")</f>
        <v>16.129166128476697</v>
      </c>
    </row>
    <row r="628" spans="1:20" hidden="1" x14ac:dyDescent="0.35">
      <c r="A628" t="s">
        <v>9</v>
      </c>
      <c r="B628" t="s">
        <v>24</v>
      </c>
      <c r="C628" s="3" t="s">
        <v>113</v>
      </c>
      <c r="D628" t="str">
        <f>_xlfn.XLOOKUP(Table2[[#This Row],[Female_ID ]],'19-20_female_cohort'!I:I,'19-20_female_cohort'!H:H, "No Match")</f>
        <v>2015/2016</v>
      </c>
      <c r="E628">
        <v>4</v>
      </c>
      <c r="F628" s="11">
        <v>43774</v>
      </c>
      <c r="G628">
        <f>_xlfn.XLOOKUP(Table2[[#This Row],[First_egg_lay_date]],'19-20_niwa_temp_data'!B:B,'19-20_niwa_temp_data'!G:G, "No Match")</f>
        <v>16.129166128476697</v>
      </c>
      <c r="H628">
        <v>5</v>
      </c>
      <c r="I628" s="11">
        <v>43778</v>
      </c>
      <c r="J628">
        <f>_xlfn.XLOOKUP(Table2[[#This Row],[Nest_box_ID]],Sheet1!A:A,Sheet1!L:L, "No Match")</f>
        <v>0</v>
      </c>
      <c r="K628" s="11">
        <v>43792</v>
      </c>
      <c r="L628">
        <f>_xlfn.XLOOKUP(Table2[[#This Row],[Nest_box_ID]],Sheet1!A:A,Sheet1!K:K, "No Match")</f>
        <v>14</v>
      </c>
      <c r="M628" s="11">
        <v>43778</v>
      </c>
      <c r="N628" s="16">
        <v>0.56745370370370374</v>
      </c>
      <c r="O628">
        <v>1</v>
      </c>
      <c r="P628">
        <v>60</v>
      </c>
      <c r="Q628" t="s">
        <v>320</v>
      </c>
      <c r="R628">
        <v>543</v>
      </c>
      <c r="S628">
        <f>_xlfn.XLOOKUP(Table2[[#This Row],[Obs_date]],'19-20_niwa_temp_data'!B:B,'19-20_niwa_temp_data'!G:G, "N/A")</f>
        <v>17.764290022401685</v>
      </c>
      <c r="T628">
        <f>_xlfn.XLOOKUP(Table2[[#This Row],[First_egg_lay_date]],'19-20_niwa_temp_data'!B:B,'19-20_niwa_temp_data'!G:G, "No Match")</f>
        <v>16.129166128476697</v>
      </c>
    </row>
    <row r="629" spans="1:20" x14ac:dyDescent="0.35">
      <c r="A629" t="s">
        <v>9</v>
      </c>
      <c r="B629" t="s">
        <v>24</v>
      </c>
      <c r="C629" s="3" t="s">
        <v>113</v>
      </c>
      <c r="D629" t="str">
        <f>_xlfn.XLOOKUP(Table2[[#This Row],[Female_ID ]],'19-20_female_cohort'!I:I,'19-20_female_cohort'!H:H, "No Match")</f>
        <v>2015/2016</v>
      </c>
      <c r="E629">
        <v>4</v>
      </c>
      <c r="F629" s="11">
        <v>43774</v>
      </c>
      <c r="G629">
        <f>_xlfn.XLOOKUP(Table2[[#This Row],[First_egg_lay_date]],'19-20_niwa_temp_data'!B:B,'19-20_niwa_temp_data'!G:G, "No Match")</f>
        <v>16.129166128476697</v>
      </c>
      <c r="H629">
        <v>5</v>
      </c>
      <c r="I629" s="11">
        <v>43778</v>
      </c>
      <c r="J629">
        <f>_xlfn.XLOOKUP(Table2[[#This Row],[Nest_box_ID]],Sheet1!A:A,Sheet1!L:L, "No Match")</f>
        <v>0</v>
      </c>
      <c r="K629" s="11">
        <v>43792</v>
      </c>
      <c r="L629">
        <f>_xlfn.XLOOKUP(Table2[[#This Row],[Nest_box_ID]],Sheet1!A:A,Sheet1!K:K, "No Match")</f>
        <v>14</v>
      </c>
      <c r="M629" s="11">
        <v>43778</v>
      </c>
      <c r="N629" s="16">
        <v>0.57373842592592594</v>
      </c>
      <c r="O629">
        <v>1</v>
      </c>
      <c r="P629">
        <v>60</v>
      </c>
      <c r="Q629" t="s">
        <v>319</v>
      </c>
      <c r="R629">
        <v>199</v>
      </c>
      <c r="S629">
        <f>_xlfn.XLOOKUP(Table2[[#This Row],[Obs_date]],'19-20_niwa_temp_data'!B:B,'19-20_niwa_temp_data'!G:G, "N/A")</f>
        <v>17.764290022401685</v>
      </c>
      <c r="T629">
        <f>_xlfn.XLOOKUP(Table2[[#This Row],[First_egg_lay_date]],'19-20_niwa_temp_data'!B:B,'19-20_niwa_temp_data'!G:G, "No Match")</f>
        <v>16.129166128476697</v>
      </c>
    </row>
    <row r="630" spans="1:20" hidden="1" x14ac:dyDescent="0.35">
      <c r="A630" t="s">
        <v>9</v>
      </c>
      <c r="B630" t="s">
        <v>24</v>
      </c>
      <c r="C630" s="3" t="s">
        <v>113</v>
      </c>
      <c r="D630" t="str">
        <f>_xlfn.XLOOKUP(Table2[[#This Row],[Female_ID ]],'19-20_female_cohort'!I:I,'19-20_female_cohort'!H:H, "No Match")</f>
        <v>2015/2016</v>
      </c>
      <c r="E630">
        <v>4</v>
      </c>
      <c r="F630" s="11">
        <v>43774</v>
      </c>
      <c r="G630">
        <f>_xlfn.XLOOKUP(Table2[[#This Row],[First_egg_lay_date]],'19-20_niwa_temp_data'!B:B,'19-20_niwa_temp_data'!G:G, "No Match")</f>
        <v>16.129166128476697</v>
      </c>
      <c r="H630">
        <v>5</v>
      </c>
      <c r="I630" s="11">
        <v>43778</v>
      </c>
      <c r="J630">
        <f>_xlfn.XLOOKUP(Table2[[#This Row],[Nest_box_ID]],Sheet1!A:A,Sheet1!L:L, "No Match")</f>
        <v>0</v>
      </c>
      <c r="K630" s="11">
        <v>43792</v>
      </c>
      <c r="L630">
        <f>_xlfn.XLOOKUP(Table2[[#This Row],[Nest_box_ID]],Sheet1!A:A,Sheet1!K:K, "No Match")</f>
        <v>14</v>
      </c>
      <c r="M630" s="11">
        <v>43778</v>
      </c>
      <c r="N630" s="16">
        <v>0.57604166666666667</v>
      </c>
      <c r="O630">
        <v>1</v>
      </c>
      <c r="P630">
        <v>60</v>
      </c>
      <c r="Q630" t="s">
        <v>320</v>
      </c>
      <c r="R630">
        <v>759</v>
      </c>
      <c r="S630">
        <f>_xlfn.XLOOKUP(Table2[[#This Row],[Obs_date]],'19-20_niwa_temp_data'!B:B,'19-20_niwa_temp_data'!G:G, "N/A")</f>
        <v>17.764290022401685</v>
      </c>
      <c r="T630">
        <f>_xlfn.XLOOKUP(Table2[[#This Row],[First_egg_lay_date]],'19-20_niwa_temp_data'!B:B,'19-20_niwa_temp_data'!G:G, "No Match")</f>
        <v>16.129166128476697</v>
      </c>
    </row>
    <row r="631" spans="1:20" x14ac:dyDescent="0.35">
      <c r="A631" t="s">
        <v>9</v>
      </c>
      <c r="B631" t="s">
        <v>24</v>
      </c>
      <c r="C631" s="3" t="s">
        <v>113</v>
      </c>
      <c r="D631" t="str">
        <f>_xlfn.XLOOKUP(Table2[[#This Row],[Female_ID ]],'19-20_female_cohort'!I:I,'19-20_female_cohort'!H:H, "No Match")</f>
        <v>2015/2016</v>
      </c>
      <c r="E631">
        <v>4</v>
      </c>
      <c r="F631" s="11">
        <v>43774</v>
      </c>
      <c r="G631">
        <f>_xlfn.XLOOKUP(Table2[[#This Row],[First_egg_lay_date]],'19-20_niwa_temp_data'!B:B,'19-20_niwa_temp_data'!G:G, "No Match")</f>
        <v>16.129166128476697</v>
      </c>
      <c r="H631">
        <v>5</v>
      </c>
      <c r="I631" s="11">
        <v>43778</v>
      </c>
      <c r="J631">
        <f>_xlfn.XLOOKUP(Table2[[#This Row],[Nest_box_ID]],Sheet1!A:A,Sheet1!L:L, "No Match")</f>
        <v>0</v>
      </c>
      <c r="K631" s="11">
        <v>43792</v>
      </c>
      <c r="L631">
        <f>_xlfn.XLOOKUP(Table2[[#This Row],[Nest_box_ID]],Sheet1!A:A,Sheet1!K:K, "No Match")</f>
        <v>14</v>
      </c>
      <c r="M631" s="11">
        <v>43778</v>
      </c>
      <c r="N631" s="16">
        <v>0.58482638888888894</v>
      </c>
      <c r="O631">
        <v>1</v>
      </c>
      <c r="P631">
        <v>60</v>
      </c>
      <c r="Q631" t="s">
        <v>319</v>
      </c>
      <c r="R631">
        <v>485</v>
      </c>
      <c r="S631">
        <f>_xlfn.XLOOKUP(Table2[[#This Row],[Obs_date]],'19-20_niwa_temp_data'!B:B,'19-20_niwa_temp_data'!G:G, "N/A")</f>
        <v>17.764290022401685</v>
      </c>
      <c r="T631">
        <f>_xlfn.XLOOKUP(Table2[[#This Row],[First_egg_lay_date]],'19-20_niwa_temp_data'!B:B,'19-20_niwa_temp_data'!G:G, "No Match")</f>
        <v>16.129166128476697</v>
      </c>
    </row>
    <row r="632" spans="1:20" hidden="1" x14ac:dyDescent="0.35">
      <c r="A632" t="s">
        <v>9</v>
      </c>
      <c r="B632" t="s">
        <v>24</v>
      </c>
      <c r="C632" s="3" t="s">
        <v>113</v>
      </c>
      <c r="D632" t="str">
        <f>_xlfn.XLOOKUP(Table2[[#This Row],[Female_ID ]],'19-20_female_cohort'!I:I,'19-20_female_cohort'!H:H, "No Match")</f>
        <v>2015/2016</v>
      </c>
      <c r="E632">
        <v>4</v>
      </c>
      <c r="F632" s="11">
        <v>43774</v>
      </c>
      <c r="G632">
        <f>_xlfn.XLOOKUP(Table2[[#This Row],[First_egg_lay_date]],'19-20_niwa_temp_data'!B:B,'19-20_niwa_temp_data'!G:G, "No Match")</f>
        <v>16.129166128476697</v>
      </c>
      <c r="H632">
        <v>5</v>
      </c>
      <c r="I632" s="11">
        <v>43778</v>
      </c>
      <c r="J632">
        <f>_xlfn.XLOOKUP(Table2[[#This Row],[Nest_box_ID]],Sheet1!A:A,Sheet1!L:L, "No Match")</f>
        <v>0</v>
      </c>
      <c r="K632" s="11">
        <v>43792</v>
      </c>
      <c r="L632">
        <f>_xlfn.XLOOKUP(Table2[[#This Row],[Nest_box_ID]],Sheet1!A:A,Sheet1!K:K, "No Match")</f>
        <v>14</v>
      </c>
      <c r="M632" s="11">
        <v>43778</v>
      </c>
      <c r="N632" s="16">
        <v>0.59043981481481478</v>
      </c>
      <c r="O632">
        <v>1</v>
      </c>
      <c r="P632">
        <v>60</v>
      </c>
      <c r="Q632" t="s">
        <v>320</v>
      </c>
      <c r="R632" t="s">
        <v>254</v>
      </c>
      <c r="S632">
        <f>_xlfn.XLOOKUP(Table2[[#This Row],[Obs_date]],'19-20_niwa_temp_data'!B:B,'19-20_niwa_temp_data'!G:G, "N/A")</f>
        <v>17.764290022401685</v>
      </c>
      <c r="T632">
        <f>_xlfn.XLOOKUP(Table2[[#This Row],[First_egg_lay_date]],'19-20_niwa_temp_data'!B:B,'19-20_niwa_temp_data'!G:G, "No Match")</f>
        <v>16.129166128476697</v>
      </c>
    </row>
    <row r="633" spans="1:20" hidden="1" x14ac:dyDescent="0.35">
      <c r="A633" t="s">
        <v>9</v>
      </c>
      <c r="B633" t="s">
        <v>50</v>
      </c>
      <c r="C633" s="3" t="s">
        <v>139</v>
      </c>
      <c r="D633" t="str">
        <f>_xlfn.XLOOKUP(Table2[[#This Row],[Female_ID ]],'19-20_female_cohort'!I:I,'19-20_female_cohort'!H:H, "No Match")</f>
        <v>2013/2014</v>
      </c>
      <c r="E633">
        <v>6</v>
      </c>
      <c r="F633" s="11">
        <v>43786</v>
      </c>
      <c r="G633">
        <f>_xlfn.XLOOKUP(Table2[[#This Row],[First_egg_lay_date]],'19-20_niwa_temp_data'!B:B,'19-20_niwa_temp_data'!G:G, "No Match")</f>
        <v>15.768322675541617</v>
      </c>
      <c r="H633">
        <v>4</v>
      </c>
      <c r="I633" s="11">
        <v>43790</v>
      </c>
      <c r="J633">
        <f>_xlfn.XLOOKUP(Table2[[#This Row],[Nest_box_ID]],Sheet1!A:A,Sheet1!L:L, "No Match")</f>
        <v>1</v>
      </c>
      <c r="K633" s="11" t="s">
        <v>254</v>
      </c>
      <c r="L633" t="str">
        <f>_xlfn.XLOOKUP(Table2[[#This Row],[Nest_box_ID]],Sheet1!A:A,Sheet1!K:K, "No Match")</f>
        <v>N/A</v>
      </c>
      <c r="M633" s="11">
        <v>43791</v>
      </c>
      <c r="N633" s="16">
        <v>0.61782407407407403</v>
      </c>
      <c r="O633">
        <v>1</v>
      </c>
      <c r="P633">
        <v>60</v>
      </c>
      <c r="Q633" t="s">
        <v>319</v>
      </c>
      <c r="R633">
        <v>1119</v>
      </c>
      <c r="S633">
        <f>_xlfn.XLOOKUP(Table2[[#This Row],[Obs_date]],'19-20_niwa_temp_data'!B:B,'19-20_niwa_temp_data'!G:G, "N/A")</f>
        <v>14.404166064024672</v>
      </c>
      <c r="T633">
        <f>_xlfn.XLOOKUP(Table2[[#This Row],[First_egg_lay_date]],'19-20_niwa_temp_data'!B:B,'19-20_niwa_temp_data'!G:G, "No Match")</f>
        <v>15.768322675541617</v>
      </c>
    </row>
    <row r="634" spans="1:20" hidden="1" x14ac:dyDescent="0.35">
      <c r="A634" t="s">
        <v>9</v>
      </c>
      <c r="B634" t="s">
        <v>50</v>
      </c>
      <c r="C634" s="3" t="s">
        <v>139</v>
      </c>
      <c r="D634" t="str">
        <f>_xlfn.XLOOKUP(Table2[[#This Row],[Female_ID ]],'19-20_female_cohort'!I:I,'19-20_female_cohort'!H:H, "No Match")</f>
        <v>2013/2014</v>
      </c>
      <c r="E634">
        <v>6</v>
      </c>
      <c r="F634" s="11">
        <v>43786</v>
      </c>
      <c r="G634">
        <f>_xlfn.XLOOKUP(Table2[[#This Row],[First_egg_lay_date]],'19-20_niwa_temp_data'!B:B,'19-20_niwa_temp_data'!G:G, "No Match")</f>
        <v>15.768322675541617</v>
      </c>
      <c r="H634">
        <v>4</v>
      </c>
      <c r="I634" s="11">
        <v>43790</v>
      </c>
      <c r="J634">
        <f>_xlfn.XLOOKUP(Table2[[#This Row],[Nest_box_ID]],Sheet1!A:A,Sheet1!L:L, "No Match")</f>
        <v>1</v>
      </c>
      <c r="K634" s="11" t="s">
        <v>254</v>
      </c>
      <c r="L634" t="str">
        <f>_xlfn.XLOOKUP(Table2[[#This Row],[Nest_box_ID]],Sheet1!A:A,Sheet1!K:K, "No Match")</f>
        <v>N/A</v>
      </c>
      <c r="M634" s="11">
        <v>43791</v>
      </c>
      <c r="N634" s="16">
        <v>0.63077546296296294</v>
      </c>
      <c r="O634">
        <v>1</v>
      </c>
      <c r="P634">
        <v>60</v>
      </c>
      <c r="Q634" t="s">
        <v>319</v>
      </c>
      <c r="R634">
        <v>146</v>
      </c>
      <c r="S634">
        <f>_xlfn.XLOOKUP(Table2[[#This Row],[Obs_date]],'19-20_niwa_temp_data'!B:B,'19-20_niwa_temp_data'!G:G, "N/A")</f>
        <v>14.404166064024672</v>
      </c>
      <c r="T634">
        <f>_xlfn.XLOOKUP(Table2[[#This Row],[First_egg_lay_date]],'19-20_niwa_temp_data'!B:B,'19-20_niwa_temp_data'!G:G, "No Match")</f>
        <v>15.768322675541617</v>
      </c>
    </row>
    <row r="635" spans="1:20" hidden="1" x14ac:dyDescent="0.35">
      <c r="A635" t="s">
        <v>9</v>
      </c>
      <c r="B635" t="s">
        <v>50</v>
      </c>
      <c r="C635" s="3" t="s">
        <v>139</v>
      </c>
      <c r="D635" t="str">
        <f>_xlfn.XLOOKUP(Table2[[#This Row],[Female_ID ]],'19-20_female_cohort'!I:I,'19-20_female_cohort'!H:H, "No Match")</f>
        <v>2013/2014</v>
      </c>
      <c r="E635">
        <v>6</v>
      </c>
      <c r="F635" s="11">
        <v>43786</v>
      </c>
      <c r="G635">
        <f>_xlfn.XLOOKUP(Table2[[#This Row],[First_egg_lay_date]],'19-20_niwa_temp_data'!B:B,'19-20_niwa_temp_data'!G:G, "No Match")</f>
        <v>15.768322675541617</v>
      </c>
      <c r="H635">
        <v>4</v>
      </c>
      <c r="I635" s="11">
        <v>43790</v>
      </c>
      <c r="J635">
        <f>_xlfn.XLOOKUP(Table2[[#This Row],[Nest_box_ID]],Sheet1!A:A,Sheet1!L:L, "No Match")</f>
        <v>1</v>
      </c>
      <c r="K635" s="11" t="s">
        <v>254</v>
      </c>
      <c r="L635" t="str">
        <f>_xlfn.XLOOKUP(Table2[[#This Row],[Nest_box_ID]],Sheet1!A:A,Sheet1!K:K, "No Match")</f>
        <v>N/A</v>
      </c>
      <c r="M635" s="11">
        <v>43791</v>
      </c>
      <c r="N635" s="16">
        <v>0.63246527777777772</v>
      </c>
      <c r="O635">
        <v>1</v>
      </c>
      <c r="P635">
        <v>60</v>
      </c>
      <c r="Q635" t="s">
        <v>320</v>
      </c>
      <c r="R635">
        <v>185</v>
      </c>
      <c r="S635">
        <f>_xlfn.XLOOKUP(Table2[[#This Row],[Obs_date]],'19-20_niwa_temp_data'!B:B,'19-20_niwa_temp_data'!G:G, "N/A")</f>
        <v>14.404166064024672</v>
      </c>
      <c r="T635">
        <f>_xlfn.XLOOKUP(Table2[[#This Row],[First_egg_lay_date]],'19-20_niwa_temp_data'!B:B,'19-20_niwa_temp_data'!G:G, "No Match")</f>
        <v>15.768322675541617</v>
      </c>
    </row>
    <row r="636" spans="1:20" hidden="1" x14ac:dyDescent="0.35">
      <c r="A636" t="s">
        <v>9</v>
      </c>
      <c r="B636" t="s">
        <v>50</v>
      </c>
      <c r="C636" s="3" t="s">
        <v>139</v>
      </c>
      <c r="D636" t="str">
        <f>_xlfn.XLOOKUP(Table2[[#This Row],[Female_ID ]],'19-20_female_cohort'!I:I,'19-20_female_cohort'!H:H, "No Match")</f>
        <v>2013/2014</v>
      </c>
      <c r="E636">
        <v>6</v>
      </c>
      <c r="F636" s="11">
        <v>43786</v>
      </c>
      <c r="G636">
        <f>_xlfn.XLOOKUP(Table2[[#This Row],[First_egg_lay_date]],'19-20_niwa_temp_data'!B:B,'19-20_niwa_temp_data'!G:G, "No Match")</f>
        <v>15.768322675541617</v>
      </c>
      <c r="H636">
        <v>4</v>
      </c>
      <c r="I636" s="11">
        <v>43790</v>
      </c>
      <c r="J636">
        <f>_xlfn.XLOOKUP(Table2[[#This Row],[Nest_box_ID]],Sheet1!A:A,Sheet1!L:L, "No Match")</f>
        <v>1</v>
      </c>
      <c r="K636" s="11" t="s">
        <v>254</v>
      </c>
      <c r="L636" t="str">
        <f>_xlfn.XLOOKUP(Table2[[#This Row],[Nest_box_ID]],Sheet1!A:A,Sheet1!K:K, "No Match")</f>
        <v>N/A</v>
      </c>
      <c r="M636" s="11">
        <v>43791</v>
      </c>
      <c r="N636" s="16">
        <v>0.63460648148148147</v>
      </c>
      <c r="O636">
        <v>1</v>
      </c>
      <c r="P636">
        <v>60</v>
      </c>
      <c r="Q636" t="s">
        <v>319</v>
      </c>
      <c r="R636">
        <v>351</v>
      </c>
      <c r="S636">
        <f>_xlfn.XLOOKUP(Table2[[#This Row],[Obs_date]],'19-20_niwa_temp_data'!B:B,'19-20_niwa_temp_data'!G:G, "N/A")</f>
        <v>14.404166064024672</v>
      </c>
      <c r="T636">
        <f>_xlfn.XLOOKUP(Table2[[#This Row],[First_egg_lay_date]],'19-20_niwa_temp_data'!B:B,'19-20_niwa_temp_data'!G:G, "No Match")</f>
        <v>15.768322675541617</v>
      </c>
    </row>
    <row r="637" spans="1:20" hidden="1" x14ac:dyDescent="0.35">
      <c r="A637" t="s">
        <v>9</v>
      </c>
      <c r="B637" t="s">
        <v>50</v>
      </c>
      <c r="C637" s="3" t="s">
        <v>139</v>
      </c>
      <c r="D637" t="str">
        <f>_xlfn.XLOOKUP(Table2[[#This Row],[Female_ID ]],'19-20_female_cohort'!I:I,'19-20_female_cohort'!H:H, "No Match")</f>
        <v>2013/2014</v>
      </c>
      <c r="E637">
        <v>6</v>
      </c>
      <c r="F637" s="11">
        <v>43786</v>
      </c>
      <c r="G637">
        <f>_xlfn.XLOOKUP(Table2[[#This Row],[First_egg_lay_date]],'19-20_niwa_temp_data'!B:B,'19-20_niwa_temp_data'!G:G, "No Match")</f>
        <v>15.768322675541617</v>
      </c>
      <c r="H637">
        <v>4</v>
      </c>
      <c r="I637" s="11">
        <v>43790</v>
      </c>
      <c r="J637">
        <f>_xlfn.XLOOKUP(Table2[[#This Row],[Nest_box_ID]],Sheet1!A:A,Sheet1!L:L, "No Match")</f>
        <v>1</v>
      </c>
      <c r="K637" s="11" t="s">
        <v>254</v>
      </c>
      <c r="L637" t="str">
        <f>_xlfn.XLOOKUP(Table2[[#This Row],[Nest_box_ID]],Sheet1!A:A,Sheet1!K:K, "No Match")</f>
        <v>N/A</v>
      </c>
      <c r="M637" s="11">
        <v>43791</v>
      </c>
      <c r="N637" s="16">
        <v>0.63866898148148143</v>
      </c>
      <c r="O637">
        <v>1</v>
      </c>
      <c r="P637">
        <v>60</v>
      </c>
      <c r="Q637" t="s">
        <v>320</v>
      </c>
      <c r="R637" t="s">
        <v>254</v>
      </c>
      <c r="S637">
        <f>_xlfn.XLOOKUP(Table2[[#This Row],[Obs_date]],'19-20_niwa_temp_data'!B:B,'19-20_niwa_temp_data'!G:G, "N/A")</f>
        <v>14.404166064024672</v>
      </c>
      <c r="T637">
        <f>_xlfn.XLOOKUP(Table2[[#This Row],[First_egg_lay_date]],'19-20_niwa_temp_data'!B:B,'19-20_niwa_temp_data'!G:G, "No Match")</f>
        <v>15.768322675541617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203F-57C8-49DA-A027-E0506AC98EE4}">
  <dimension ref="A1:S100"/>
  <sheetViews>
    <sheetView workbookViewId="0">
      <selection activeCell="N23" sqref="N23"/>
    </sheetView>
  </sheetViews>
  <sheetFormatPr defaultRowHeight="14.5" x14ac:dyDescent="0.35"/>
  <cols>
    <col min="1" max="1" width="16.90625" customWidth="1"/>
    <col min="3" max="6" width="10.7265625" customWidth="1"/>
    <col min="7" max="7" width="11.90625" customWidth="1"/>
    <col min="8" max="10" width="11.90625" style="11" customWidth="1"/>
    <col min="11" max="11" width="11.90625" style="16" customWidth="1"/>
    <col min="12" max="13" width="11.90625" customWidth="1"/>
    <col min="14" max="14" width="22.36328125" style="16" customWidth="1"/>
    <col min="15" max="15" width="22.36328125" customWidth="1"/>
    <col min="16" max="16" width="22.54296875" style="16" customWidth="1"/>
    <col min="17" max="17" width="24.54296875" customWidth="1"/>
    <col min="18" max="18" width="24.54296875" style="22" customWidth="1"/>
    <col min="19" max="19" width="22.54296875" customWidth="1"/>
  </cols>
  <sheetData>
    <row r="1" spans="1:19" s="19" customFormat="1" x14ac:dyDescent="0.35">
      <c r="A1" s="19" t="s">
        <v>5</v>
      </c>
      <c r="B1" s="19" t="s">
        <v>274</v>
      </c>
      <c r="C1" s="19" t="s">
        <v>356</v>
      </c>
      <c r="D1" s="19" t="s">
        <v>353</v>
      </c>
      <c r="E1" s="19" t="s">
        <v>321</v>
      </c>
      <c r="F1" s="19" t="s">
        <v>332</v>
      </c>
      <c r="G1" s="19" t="s">
        <v>275</v>
      </c>
      <c r="H1" s="23" t="s">
        <v>2</v>
      </c>
      <c r="I1" s="23" t="s">
        <v>322</v>
      </c>
      <c r="J1" s="23" t="s">
        <v>276</v>
      </c>
      <c r="K1" s="20" t="s">
        <v>369</v>
      </c>
      <c r="L1" s="19" t="s">
        <v>361</v>
      </c>
      <c r="M1" s="19" t="s">
        <v>354</v>
      </c>
      <c r="N1" s="20" t="s">
        <v>277</v>
      </c>
      <c r="O1" s="19" t="s">
        <v>357</v>
      </c>
      <c r="P1" s="20" t="s">
        <v>278</v>
      </c>
      <c r="Q1" s="19" t="s">
        <v>355</v>
      </c>
      <c r="R1" s="21" t="s">
        <v>358</v>
      </c>
      <c r="S1" s="19" t="s">
        <v>359</v>
      </c>
    </row>
    <row r="2" spans="1:19" x14ac:dyDescent="0.35">
      <c r="A2" t="s">
        <v>9</v>
      </c>
      <c r="B2" t="s">
        <v>38</v>
      </c>
      <c r="C2" t="str">
        <f>_xlfn.XLOOKUP(Table6[[#This Row],[Nest]],Model_draft_inc_temp_data!B:B,Model_draft_inc_temp_data!C:C, "No Match")</f>
        <v>CP13045</v>
      </c>
      <c r="D2">
        <f>_xlfn.XLOOKUP(Table6[[#This Row],[Female_ID]],Model_draft_inc_temp_data!C:C,Model_draft_inc_temp_data!E:E,"No Match")</f>
        <v>1</v>
      </c>
      <c r="E2">
        <f>_xlfn.XLOOKUP(Table6[[#This Row],[Nest]],Model_draft_inc_temp_data!B:B,Model_draft_inc_temp_data!H:H, "No Match")</f>
        <v>4</v>
      </c>
      <c r="F2">
        <f>_xlfn.XLOOKUP(Table6[[#This Row],[Nest]],Model_draft_inc_temp_data!B:B,Model_draft_inc_temp_data!J:J, "No Match")</f>
        <v>0</v>
      </c>
      <c r="G2">
        <v>7</v>
      </c>
      <c r="H2" s="11" cm="1">
        <f t="array" ref="H2">_xlfn.XLOOKUP(Table6[[#This Row],[Nest]]&amp;Table6[[#This Row],[Obs_date]],Model_draft_inc_temp_data!B:B&amp;Model_draft_inc_temp_data!M:M,Model_draft_inc_temp_data!F:F, "No Match")</f>
        <v>43779</v>
      </c>
      <c r="I2" s="11" cm="1">
        <f t="array" ref="I2">_xlfn.XLOOKUP(Table6[[#This Row],[Nest]]&amp;Table6[[#This Row],[Obs_date]], Model_draft_inc_temp_data!B:B&amp;Model_draft_inc_temp_data!M:M, Model_draft_inc_temp_data!I:I, "No Match")</f>
        <v>43782</v>
      </c>
      <c r="J2" s="11" cm="1">
        <f t="array" ref="J2">_xlfn.XLOOKUP(Table6[[#This Row],[Nest]]&amp;Table6[[#This Row],[Day_of_inc]],Model_draft_inc_temp_data!B:B&amp;Model_draft_inc_temp_data!O:O,Model_draft_inc_temp_data!M:M, "No Match")</f>
        <v>43789</v>
      </c>
      <c r="K2" s="16" cm="1">
        <f t="array" ref="K2">_xlfn.XLOOKUP(Table6[[#This Row],[Nest]]&amp;Table6[[#This Row],[Obs_date]],Sheet2!B:B&amp;Sheet2!E:E, Sheet2!F:F, "No Match")</f>
        <v>0.43384259259259261</v>
      </c>
      <c r="L2">
        <f>_xlfn.XLOOKUP(Table6[[#This Row],[Obs_date]],'19-20_niwa_temp_data'!B:B,'19-20_niwa_temp_data'!G:G, "No Match")</f>
        <v>13.516656391282572</v>
      </c>
      <c r="M2">
        <f>_xlfn.XLOOKUP(Table6[[#This Row],[Nest]],Model_draft_inc_temp_data!B:B,Model_draft_inc_temp_data!L:L, "No Match")</f>
        <v>16</v>
      </c>
      <c r="N2" s="16">
        <v>1.037037037037037E-2</v>
      </c>
      <c r="O2">
        <f>Table6[[#This Row],[Total_on_bout_duration]]*86400</f>
        <v>896</v>
      </c>
      <c r="P2" s="16">
        <v>3.6689814814814814E-3</v>
      </c>
      <c r="Q2">
        <v>63</v>
      </c>
      <c r="R2" s="22">
        <f>Table6[[#This Row],[Total_obs_length_minutes]]*60</f>
        <v>3780</v>
      </c>
      <c r="S2">
        <f>Table6[[#This Row],[Total_on_bout_duration_seconds]]/Table6[[#This Row],[Total_obs_length_seconds]]</f>
        <v>0.23703703703703705</v>
      </c>
    </row>
    <row r="3" spans="1:19" x14ac:dyDescent="0.35">
      <c r="A3" t="s">
        <v>9</v>
      </c>
      <c r="B3" t="s">
        <v>38</v>
      </c>
      <c r="C3" t="str">
        <f>_xlfn.XLOOKUP(Table6[[#This Row],[Nest]],Model_draft_inc_temp_data!B:B,Model_draft_inc_temp_data!C:C, "No Match")</f>
        <v>CP13045</v>
      </c>
      <c r="D3">
        <f>_xlfn.XLOOKUP(Table6[[#This Row],[Female_ID]],Model_draft_inc_temp_data!C:C,Model_draft_inc_temp_data!E:E,"No Match")</f>
        <v>1</v>
      </c>
      <c r="E3">
        <f>_xlfn.XLOOKUP(Table6[[#This Row],[Nest]],Model_draft_inc_temp_data!B:B,Model_draft_inc_temp_data!H:H, "No Match")</f>
        <v>4</v>
      </c>
      <c r="F3">
        <f>_xlfn.XLOOKUP(Table6[[#This Row],[Nest]],Model_draft_inc_temp_data!B:B,Model_draft_inc_temp_data!J:J, "No Match")</f>
        <v>0</v>
      </c>
      <c r="G3">
        <v>14</v>
      </c>
      <c r="H3" s="11" cm="1">
        <f t="array" ref="H3">_xlfn.XLOOKUP(Table6[[#This Row],[Nest]]&amp;Table6[[#This Row],[Obs_date]],Model_draft_inc_temp_data!B:B&amp;Model_draft_inc_temp_data!M:M,Model_draft_inc_temp_data!F:F, "No Match")</f>
        <v>43779</v>
      </c>
      <c r="I3" s="11" cm="1">
        <f t="array" ref="I3">_xlfn.XLOOKUP(Table6[[#This Row],[Nest]]&amp;Table6[[#This Row],[Obs_date]], Model_draft_inc_temp_data!B:B&amp;Model_draft_inc_temp_data!M:M, Model_draft_inc_temp_data!I:I, "No Match")</f>
        <v>43782</v>
      </c>
      <c r="J3" s="11" cm="1">
        <f t="array" ref="J3">_xlfn.XLOOKUP(Table6[[#This Row],[Nest]]&amp;Table6[[#This Row],[Day_of_inc]],Model_draft_inc_temp_data!B:B&amp;Model_draft_inc_temp_data!O:O,Model_draft_inc_temp_data!M:M, "No Match")</f>
        <v>43796</v>
      </c>
      <c r="K3" s="16" cm="1">
        <f t="array" ref="K3">_xlfn.XLOOKUP(Table6[[#This Row],[Nest]]&amp;Table6[[#This Row],[Obs_date]],Sheet2!B:B&amp;Sheet2!E:E, Sheet2!F:F, "No Match")</f>
        <v>0.33587962962962964</v>
      </c>
      <c r="L3">
        <f>_xlfn.XLOOKUP(Table6[[#This Row],[Obs_date]],'19-20_niwa_temp_data'!B:B,'19-20_niwa_temp_data'!G:G, "No Match")</f>
        <v>17.287857010051884</v>
      </c>
      <c r="M3">
        <f>_xlfn.XLOOKUP(Table6[[#This Row],[Nest]],Model_draft_inc_temp_data!B:B,Model_draft_inc_temp_data!L:L, "No Match")</f>
        <v>16</v>
      </c>
      <c r="N3" s="16">
        <v>4.040509259259259E-2</v>
      </c>
      <c r="O3">
        <f>Table6[[#This Row],[Total_on_bout_duration]]*86400</f>
        <v>3490.9999999999995</v>
      </c>
      <c r="P3" s="16">
        <v>5.9340277777777783E-2</v>
      </c>
      <c r="Q3">
        <v>81.016666670000006</v>
      </c>
      <c r="R3" s="22">
        <f>Table6[[#This Row],[Total_obs_length_minutes]]*60</f>
        <v>4861.0000002000006</v>
      </c>
      <c r="S3">
        <f>Table6[[#This Row],[Total_on_bout_duration_seconds]]/Table6[[#This Row],[Total_obs_length_seconds]]</f>
        <v>0.71816498659871753</v>
      </c>
    </row>
    <row r="4" spans="1:19" x14ac:dyDescent="0.35">
      <c r="A4" t="s">
        <v>9</v>
      </c>
      <c r="B4" t="s">
        <v>25</v>
      </c>
      <c r="C4" t="str">
        <f>_xlfn.XLOOKUP(Table6[[#This Row],[Nest]],Model_draft_inc_temp_data!B:B,Model_draft_inc_temp_data!C:C, "No Match")</f>
        <v>CP11845</v>
      </c>
      <c r="D4">
        <f>_xlfn.XLOOKUP(Table6[[#This Row],[Female_ID]],Model_draft_inc_temp_data!C:C,Model_draft_inc_temp_data!E:E,"No Match")</f>
        <v>3</v>
      </c>
      <c r="E4">
        <f>_xlfn.XLOOKUP(Table6[[#This Row],[Nest]],Model_draft_inc_temp_data!B:B,Model_draft_inc_temp_data!H:H, "No Match")</f>
        <v>4</v>
      </c>
      <c r="F4">
        <f>_xlfn.XLOOKUP(Table6[[#This Row],[Nest]],Model_draft_inc_temp_data!B:B,Model_draft_inc_temp_data!J:J, "No Match")</f>
        <v>1</v>
      </c>
      <c r="G4">
        <v>1</v>
      </c>
      <c r="H4" s="11" cm="1">
        <f t="array" ref="H4">_xlfn.XLOOKUP(Table6[[#This Row],[Nest]]&amp;Table6[[#This Row],[Obs_date]],Model_draft_inc_temp_data!B:B&amp;Model_draft_inc_temp_data!M:M,Model_draft_inc_temp_data!F:F, "No Match")</f>
        <v>43774</v>
      </c>
      <c r="I4" s="11" cm="1">
        <f t="array" ref="I4">_xlfn.XLOOKUP(Table6[[#This Row],[Nest]]&amp;Table6[[#This Row],[Obs_date]], Model_draft_inc_temp_data!B:B&amp;Model_draft_inc_temp_data!M:M, Model_draft_inc_temp_data!I:I, "No Match")</f>
        <v>43778</v>
      </c>
      <c r="J4" s="11" cm="1">
        <f t="array" ref="J4">_xlfn.XLOOKUP(Table6[[#This Row],[Nest]]&amp;Table6[[#This Row],[Day_of_inc]],Model_draft_inc_temp_data!B:B&amp;Model_draft_inc_temp_data!O:O,Model_draft_inc_temp_data!M:M, "No Match")</f>
        <v>43779</v>
      </c>
      <c r="K4" s="16" cm="1">
        <f t="array" ref="K4">_xlfn.XLOOKUP(Table6[[#This Row],[Nest]]&amp;Table6[[#This Row],[Obs_date]],Sheet2!B:B&amp;Sheet2!E:E, Sheet2!F:F, "No Match")</f>
        <v>0.62599537037037034</v>
      </c>
      <c r="L4">
        <f>_xlfn.XLOOKUP(Table6[[#This Row],[Obs_date]],'19-20_niwa_temp_data'!B:B,'19-20_niwa_temp_data'!G:G, "No Match")</f>
        <v>17.618172436436193</v>
      </c>
      <c r="M4">
        <f>_xlfn.XLOOKUP(Table6[[#This Row],[Nest]],Model_draft_inc_temp_data!B:B,Model_draft_inc_temp_data!L:L, "No Match")</f>
        <v>14</v>
      </c>
      <c r="N4" s="16">
        <v>3.1597222222222221E-2</v>
      </c>
      <c r="O4">
        <f>Table6[[#This Row],[Total_on_bout_duration]]*86400</f>
        <v>2730</v>
      </c>
      <c r="P4" s="16">
        <v>1.0069444444444443E-2</v>
      </c>
      <c r="Q4">
        <v>69</v>
      </c>
      <c r="R4" s="22">
        <f>Table6[[#This Row],[Total_obs_length_minutes]]*60</f>
        <v>4140</v>
      </c>
      <c r="S4">
        <f>Table6[[#This Row],[Total_on_bout_duration_seconds]]/Table6[[#This Row],[Total_obs_length_seconds]]</f>
        <v>0.65942028985507251</v>
      </c>
    </row>
    <row r="5" spans="1:19" x14ac:dyDescent="0.35">
      <c r="A5" t="s">
        <v>9</v>
      </c>
      <c r="B5" t="s">
        <v>25</v>
      </c>
      <c r="C5" t="str">
        <f>_xlfn.XLOOKUP(Table6[[#This Row],[Nest]],Model_draft_inc_temp_data!B:B,Model_draft_inc_temp_data!C:C, "No Match")</f>
        <v>CP11845</v>
      </c>
      <c r="D5">
        <f>_xlfn.XLOOKUP(Table6[[#This Row],[Female_ID]],Model_draft_inc_temp_data!C:C,Model_draft_inc_temp_data!E:E,"No Match")</f>
        <v>3</v>
      </c>
      <c r="E5">
        <f>_xlfn.XLOOKUP(Table6[[#This Row],[Nest]],Model_draft_inc_temp_data!B:B,Model_draft_inc_temp_data!H:H, "No Match")</f>
        <v>4</v>
      </c>
      <c r="F5">
        <f>_xlfn.XLOOKUP(Table6[[#This Row],[Nest]],Model_draft_inc_temp_data!B:B,Model_draft_inc_temp_data!J:J, "No Match")</f>
        <v>1</v>
      </c>
      <c r="G5">
        <v>7</v>
      </c>
      <c r="H5" s="11" cm="1">
        <f t="array" ref="H5">_xlfn.XLOOKUP(Table6[[#This Row],[Nest]]&amp;Table6[[#This Row],[Obs_date]],Model_draft_inc_temp_data!B:B&amp;Model_draft_inc_temp_data!M:M,Model_draft_inc_temp_data!F:F, "No Match")</f>
        <v>43774</v>
      </c>
      <c r="I5" s="11" cm="1">
        <f t="array" ref="I5">_xlfn.XLOOKUP(Table6[[#This Row],[Nest]]&amp;Table6[[#This Row],[Obs_date]], Model_draft_inc_temp_data!B:B&amp;Model_draft_inc_temp_data!M:M, Model_draft_inc_temp_data!I:I, "No Match")</f>
        <v>43778</v>
      </c>
      <c r="J5" s="11" cm="1">
        <f t="array" ref="J5">_xlfn.XLOOKUP(Table6[[#This Row],[Nest]]&amp;Table6[[#This Row],[Day_of_inc]],Model_draft_inc_temp_data!B:B&amp;Model_draft_inc_temp_data!O:O,Model_draft_inc_temp_data!M:M, "No Match")</f>
        <v>43787</v>
      </c>
      <c r="K5" s="16" cm="1">
        <f t="array" ref="K5">_xlfn.XLOOKUP(Table6[[#This Row],[Nest]]&amp;Table6[[#This Row],[Obs_date]],Sheet2!B:B&amp;Sheet2!E:E, Sheet2!F:F, "No Match")</f>
        <v>0.51634259259259263</v>
      </c>
      <c r="L5">
        <f>_xlfn.XLOOKUP(Table6[[#This Row],[Obs_date]],'19-20_niwa_temp_data'!B:B,'19-20_niwa_temp_data'!G:G, "No Match")</f>
        <v>16.814279645586961</v>
      </c>
      <c r="M5">
        <f>_xlfn.XLOOKUP(Table6[[#This Row],[Nest]],Model_draft_inc_temp_data!B:B,Model_draft_inc_temp_data!L:L, "No Match")</f>
        <v>14</v>
      </c>
      <c r="N5" s="16">
        <v>3.5185185185185185E-3</v>
      </c>
      <c r="O5">
        <f>Table6[[#This Row],[Total_on_bout_duration]]*86400</f>
        <v>304</v>
      </c>
      <c r="P5" s="16">
        <v>2.3865740740740739E-2</v>
      </c>
      <c r="Q5">
        <v>60</v>
      </c>
      <c r="R5" s="22">
        <f>Table6[[#This Row],[Total_obs_length_minutes]]*60</f>
        <v>3600</v>
      </c>
      <c r="S5">
        <f>Table6[[#This Row],[Total_on_bout_duration_seconds]]/Table6[[#This Row],[Total_obs_length_seconds]]</f>
        <v>8.4444444444444447E-2</v>
      </c>
    </row>
    <row r="6" spans="1:19" x14ac:dyDescent="0.35">
      <c r="A6" t="s">
        <v>9</v>
      </c>
      <c r="B6" t="s">
        <v>25</v>
      </c>
      <c r="C6" t="str">
        <f>_xlfn.XLOOKUP(Table6[[#This Row],[Nest]],Model_draft_inc_temp_data!B:B,Model_draft_inc_temp_data!C:C, "No Match")</f>
        <v>CP11845</v>
      </c>
      <c r="D6">
        <f>_xlfn.XLOOKUP(Table6[[#This Row],[Female_ID]],Model_draft_inc_temp_data!C:C,Model_draft_inc_temp_data!E:E,"No Match")</f>
        <v>3</v>
      </c>
      <c r="E6">
        <f>_xlfn.XLOOKUP(Table6[[#This Row],[Nest]],Model_draft_inc_temp_data!B:B,Model_draft_inc_temp_data!H:H, "No Match")</f>
        <v>4</v>
      </c>
      <c r="F6">
        <f>_xlfn.XLOOKUP(Table6[[#This Row],[Nest]],Model_draft_inc_temp_data!B:B,Model_draft_inc_temp_data!J:J, "No Match")</f>
        <v>1</v>
      </c>
      <c r="G6">
        <v>13</v>
      </c>
      <c r="H6" s="11" cm="1">
        <f t="array" ref="H6">_xlfn.XLOOKUP(Table6[[#This Row],[Nest]]&amp;Table6[[#This Row],[Obs_date]],Model_draft_inc_temp_data!B:B&amp;Model_draft_inc_temp_data!M:M,Model_draft_inc_temp_data!F:F, "No Match")</f>
        <v>43774</v>
      </c>
      <c r="I6" s="11" cm="1">
        <f t="array" ref="I6">_xlfn.XLOOKUP(Table6[[#This Row],[Nest]]&amp;Table6[[#This Row],[Obs_date]], Model_draft_inc_temp_data!B:B&amp;Model_draft_inc_temp_data!M:M, Model_draft_inc_temp_data!I:I, "No Match")</f>
        <v>43778</v>
      </c>
      <c r="J6" s="11" cm="1">
        <f t="array" ref="J6">_xlfn.XLOOKUP(Table6[[#This Row],[Nest]]&amp;Table6[[#This Row],[Day_of_inc]],Model_draft_inc_temp_data!B:B&amp;Model_draft_inc_temp_data!O:O,Model_draft_inc_temp_data!M:M, "No Match")</f>
        <v>43791</v>
      </c>
      <c r="K6" s="16" cm="1">
        <f t="array" ref="K6">_xlfn.XLOOKUP(Table6[[#This Row],[Nest]]&amp;Table6[[#This Row],[Obs_date]],Sheet2!B:B&amp;Sheet2!E:E, Sheet2!F:F, "No Match")</f>
        <v>0.47298611111111111</v>
      </c>
      <c r="L6">
        <f>_xlfn.XLOOKUP(Table6[[#This Row],[Obs_date]],'19-20_niwa_temp_data'!B:B,'19-20_niwa_temp_data'!G:G, "No Match")</f>
        <v>14.404166064024672</v>
      </c>
      <c r="M6">
        <f>_xlfn.XLOOKUP(Table6[[#This Row],[Nest]],Model_draft_inc_temp_data!B:B,Model_draft_inc_temp_data!L:L, "No Match")</f>
        <v>14</v>
      </c>
      <c r="N6" s="16">
        <v>6.145833333333333E-3</v>
      </c>
      <c r="O6">
        <f>Table6[[#This Row],[Total_on_bout_duration]]*86400</f>
        <v>531</v>
      </c>
      <c r="P6" s="16">
        <v>3.6793981481481483E-2</v>
      </c>
      <c r="Q6">
        <v>65</v>
      </c>
      <c r="R6" s="22">
        <f>Table6[[#This Row],[Total_obs_length_minutes]]*60</f>
        <v>3900</v>
      </c>
      <c r="S6">
        <f>Table6[[#This Row],[Total_on_bout_duration_seconds]]/Table6[[#This Row],[Total_obs_length_seconds]]</f>
        <v>0.13615384615384615</v>
      </c>
    </row>
    <row r="7" spans="1:19" x14ac:dyDescent="0.35">
      <c r="A7" t="s">
        <v>9</v>
      </c>
      <c r="B7" t="s">
        <v>16</v>
      </c>
      <c r="C7" t="str">
        <f>_xlfn.XLOOKUP(Table6[[#This Row],[Nest]],Model_draft_inc_temp_data!B:B,Model_draft_inc_temp_data!C:C, "No Match")</f>
        <v>CP13077</v>
      </c>
      <c r="D7">
        <f>_xlfn.XLOOKUP(Table6[[#This Row],[Female_ID]],Model_draft_inc_temp_data!C:C,Model_draft_inc_temp_data!E:E,"No Match")</f>
        <v>1</v>
      </c>
      <c r="E7">
        <f>_xlfn.XLOOKUP(Table6[[#This Row],[Nest]],Model_draft_inc_temp_data!B:B,Model_draft_inc_temp_data!H:H, "No Match")</f>
        <v>4</v>
      </c>
      <c r="F7">
        <f>_xlfn.XLOOKUP(Table6[[#This Row],[Nest]],Model_draft_inc_temp_data!B:B,Model_draft_inc_temp_data!J:J, "No Match")</f>
        <v>0</v>
      </c>
      <c r="G7">
        <v>2</v>
      </c>
      <c r="H7" s="11" cm="1">
        <f t="array" ref="H7">_xlfn.XLOOKUP(Table6[[#This Row],[Nest]]&amp;Table6[[#This Row],[Obs_date]],Model_draft_inc_temp_data!B:B&amp;Model_draft_inc_temp_data!M:M,Model_draft_inc_temp_data!F:F, "No Match")</f>
        <v>43770</v>
      </c>
      <c r="I7" s="11" cm="1">
        <f t="array" ref="I7">_xlfn.XLOOKUP(Table6[[#This Row],[Nest]]&amp;Table6[[#This Row],[Obs_date]], Model_draft_inc_temp_data!B:B&amp;Model_draft_inc_temp_data!M:M, Model_draft_inc_temp_data!I:I, "No Match")</f>
        <v>43773</v>
      </c>
      <c r="J7" s="11" cm="1">
        <f t="array" ref="J7">_xlfn.XLOOKUP(Table6[[#This Row],[Nest]]&amp;Table6[[#This Row],[Day_of_inc]],Model_draft_inc_temp_data!B:B&amp;Model_draft_inc_temp_data!O:O,Model_draft_inc_temp_data!M:M, "No Match")</f>
        <v>43773</v>
      </c>
      <c r="K7" s="16" cm="1">
        <f t="array" ref="K7">_xlfn.XLOOKUP(Table6[[#This Row],[Nest]]&amp;Table6[[#This Row],[Obs_date]],Sheet2!B:B&amp;Sheet2!E:E, Sheet2!F:F, "No Match")</f>
        <v>0.57986111111111116</v>
      </c>
      <c r="L7">
        <f>_xlfn.XLOOKUP(Table6[[#This Row],[Obs_date]],'19-20_niwa_temp_data'!B:B,'19-20_niwa_temp_data'!G:G, "No Match")</f>
        <v>15.4</v>
      </c>
      <c r="M7">
        <f>_xlfn.XLOOKUP(Table6[[#This Row],[Nest]],Model_draft_inc_temp_data!B:B,Model_draft_inc_temp_data!L:L, "No Match")</f>
        <v>15</v>
      </c>
      <c r="N7" s="16">
        <v>5.6481481481481487E-3</v>
      </c>
      <c r="O7">
        <f>Table6[[#This Row],[Total_on_bout_duration]]*86400</f>
        <v>488.00000000000006</v>
      </c>
      <c r="P7" s="16">
        <v>3.9583333333333337E-3</v>
      </c>
      <c r="Q7">
        <v>24.466666669999999</v>
      </c>
      <c r="R7" s="22">
        <f>Table6[[#This Row],[Total_obs_length_minutes]]*60</f>
        <v>1468.0000001999999</v>
      </c>
      <c r="S7">
        <f>Table6[[#This Row],[Total_on_bout_duration_seconds]]/Table6[[#This Row],[Total_obs_length_seconds]]</f>
        <v>0.33242506807460154</v>
      </c>
    </row>
    <row r="8" spans="1:19" x14ac:dyDescent="0.35">
      <c r="A8" t="s">
        <v>9</v>
      </c>
      <c r="B8" t="s">
        <v>16</v>
      </c>
      <c r="C8" t="str">
        <f>_xlfn.XLOOKUP(Table6[[#This Row],[Nest]],Model_draft_inc_temp_data!B:B,Model_draft_inc_temp_data!C:C, "No Match")</f>
        <v>CP13077</v>
      </c>
      <c r="D8">
        <f>_xlfn.XLOOKUP(Table6[[#This Row],[Female_ID]],Model_draft_inc_temp_data!C:C,Model_draft_inc_temp_data!E:E,"No Match")</f>
        <v>1</v>
      </c>
      <c r="E8">
        <f>_xlfn.XLOOKUP(Table6[[#This Row],[Nest]],Model_draft_inc_temp_data!B:B,Model_draft_inc_temp_data!H:H, "No Match")</f>
        <v>4</v>
      </c>
      <c r="F8">
        <f>_xlfn.XLOOKUP(Table6[[#This Row],[Nest]],Model_draft_inc_temp_data!B:B,Model_draft_inc_temp_data!J:J, "No Match")</f>
        <v>0</v>
      </c>
      <c r="G8">
        <v>3</v>
      </c>
      <c r="H8" s="11" cm="1">
        <f t="array" ref="H8">_xlfn.XLOOKUP(Table6[[#This Row],[Nest]]&amp;Table6[[#This Row],[Obs_date]],Model_draft_inc_temp_data!B:B&amp;Model_draft_inc_temp_data!M:M,Model_draft_inc_temp_data!F:F, "No Match")</f>
        <v>43770</v>
      </c>
      <c r="I8" s="11" cm="1">
        <f t="array" ref="I8">_xlfn.XLOOKUP(Table6[[#This Row],[Nest]]&amp;Table6[[#This Row],[Obs_date]], Model_draft_inc_temp_data!B:B&amp;Model_draft_inc_temp_data!M:M, Model_draft_inc_temp_data!I:I, "No Match")</f>
        <v>43773</v>
      </c>
      <c r="J8" s="11" cm="1">
        <f t="array" ref="J8">_xlfn.XLOOKUP(Table6[[#This Row],[Nest]]&amp;Table6[[#This Row],[Day_of_inc]],Model_draft_inc_temp_data!B:B&amp;Model_draft_inc_temp_data!O:O,Model_draft_inc_temp_data!M:M, "No Match")</f>
        <v>43774</v>
      </c>
      <c r="K8" s="16" cm="1">
        <f t="array" ref="K8">_xlfn.XLOOKUP(Table6[[#This Row],[Nest]]&amp;Table6[[#This Row],[Obs_date]],Sheet2!B:B&amp;Sheet2!E:E, Sheet2!F:F, "No Match")</f>
        <v>0.58078703703703705</v>
      </c>
      <c r="L8">
        <f>_xlfn.XLOOKUP(Table6[[#This Row],[Obs_date]],'19-20_niwa_temp_data'!B:B,'19-20_niwa_temp_data'!G:G, "No Match")</f>
        <v>16.129166128476697</v>
      </c>
      <c r="M8">
        <f>_xlfn.XLOOKUP(Table6[[#This Row],[Nest]],Model_draft_inc_temp_data!B:B,Model_draft_inc_temp_data!L:L, "No Match")</f>
        <v>15</v>
      </c>
      <c r="N8" s="16">
        <v>1.0127314814814816E-2</v>
      </c>
      <c r="O8">
        <f>Table6[[#This Row],[Total_on_bout_duration]]*86400</f>
        <v>875.00000000000011</v>
      </c>
      <c r="P8" s="16">
        <v>1.2974537037037038E-2</v>
      </c>
      <c r="Q8">
        <v>113.83333330000001</v>
      </c>
      <c r="R8" s="22">
        <f>Table6[[#This Row],[Total_obs_length_minutes]]*60</f>
        <v>6829.9999980000002</v>
      </c>
      <c r="S8">
        <f>Table6[[#This Row],[Total_on_bout_duration_seconds]]/Table6[[#This Row],[Total_obs_length_seconds]]</f>
        <v>0.12811127382960799</v>
      </c>
    </row>
    <row r="9" spans="1:19" x14ac:dyDescent="0.35">
      <c r="A9" t="s">
        <v>9</v>
      </c>
      <c r="B9" t="s">
        <v>16</v>
      </c>
      <c r="C9" t="str">
        <f>_xlfn.XLOOKUP(Table6[[#This Row],[Nest]],Model_draft_inc_temp_data!B:B,Model_draft_inc_temp_data!C:C, "No Match")</f>
        <v>CP13077</v>
      </c>
      <c r="D9">
        <f>_xlfn.XLOOKUP(Table6[[#This Row],[Female_ID]],Model_draft_inc_temp_data!C:C,Model_draft_inc_temp_data!E:E,"No Match")</f>
        <v>1</v>
      </c>
      <c r="E9">
        <f>_xlfn.XLOOKUP(Table6[[#This Row],[Nest]],Model_draft_inc_temp_data!B:B,Model_draft_inc_temp_data!H:H, "No Match")</f>
        <v>4</v>
      </c>
      <c r="F9">
        <f>_xlfn.XLOOKUP(Table6[[#This Row],[Nest]],Model_draft_inc_temp_data!B:B,Model_draft_inc_temp_data!J:J, "No Match")</f>
        <v>0</v>
      </c>
      <c r="G9">
        <v>13</v>
      </c>
      <c r="H9" s="11" cm="1">
        <f t="array" ref="H9">_xlfn.XLOOKUP(Table6[[#This Row],[Nest]]&amp;Table6[[#This Row],[Obs_date]],Model_draft_inc_temp_data!B:B&amp;Model_draft_inc_temp_data!M:M,Model_draft_inc_temp_data!F:F, "No Match")</f>
        <v>43770</v>
      </c>
      <c r="I9" s="11" cm="1">
        <f t="array" ref="I9">_xlfn.XLOOKUP(Table6[[#This Row],[Nest]]&amp;Table6[[#This Row],[Obs_date]], Model_draft_inc_temp_data!B:B&amp;Model_draft_inc_temp_data!M:M, Model_draft_inc_temp_data!I:I, "No Match")</f>
        <v>43773</v>
      </c>
      <c r="J9" s="11" cm="1">
        <f t="array" ref="J9">_xlfn.XLOOKUP(Table6[[#This Row],[Nest]]&amp;Table6[[#This Row],[Day_of_inc]],Model_draft_inc_temp_data!B:B&amp;Model_draft_inc_temp_data!O:O,Model_draft_inc_temp_data!M:M, "No Match")</f>
        <v>43786</v>
      </c>
      <c r="K9" s="16" cm="1">
        <f t="array" ref="K9">_xlfn.XLOOKUP(Table6[[#This Row],[Nest]]&amp;Table6[[#This Row],[Obs_date]],Sheet2!B:B&amp;Sheet2!E:E, Sheet2!F:F, "No Match")</f>
        <v>0.56180555555555556</v>
      </c>
      <c r="L9">
        <f>_xlfn.XLOOKUP(Table6[[#This Row],[Obs_date]],'19-20_niwa_temp_data'!B:B,'19-20_niwa_temp_data'!G:G, "No Match")</f>
        <v>15.768322675541617</v>
      </c>
      <c r="M9">
        <f>_xlfn.XLOOKUP(Table6[[#This Row],[Nest]],Model_draft_inc_temp_data!B:B,Model_draft_inc_temp_data!L:L, "No Match")</f>
        <v>15</v>
      </c>
      <c r="N9" s="16">
        <v>6.2268518518518515E-3</v>
      </c>
      <c r="O9">
        <f>Table6[[#This Row],[Total_on_bout_duration]]*86400</f>
        <v>538</v>
      </c>
      <c r="P9" s="16">
        <v>1.4837962962962963E-2</v>
      </c>
      <c r="Q9">
        <v>160.41666670000001</v>
      </c>
      <c r="R9" s="22">
        <f>Table6[[#This Row],[Total_obs_length_minutes]]*60</f>
        <v>9625.0000020000007</v>
      </c>
      <c r="S9">
        <f>Table6[[#This Row],[Total_on_bout_duration_seconds]]/Table6[[#This Row],[Total_obs_length_seconds]]</f>
        <v>5.5896103884489116E-2</v>
      </c>
    </row>
    <row r="10" spans="1:19" x14ac:dyDescent="0.35">
      <c r="A10" t="s">
        <v>9</v>
      </c>
      <c r="B10" t="s">
        <v>33</v>
      </c>
      <c r="C10" t="str">
        <f>_xlfn.XLOOKUP(Table6[[#This Row],[Nest]],Model_draft_inc_temp_data!B:B,Model_draft_inc_temp_data!C:C, "No Match")</f>
        <v>CP12997</v>
      </c>
      <c r="D10">
        <f>_xlfn.XLOOKUP(Table6[[#This Row],[Female_ID]],Model_draft_inc_temp_data!C:C,Model_draft_inc_temp_data!E:E,"No Match")</f>
        <v>2</v>
      </c>
      <c r="E10">
        <f>_xlfn.XLOOKUP(Table6[[#This Row],[Nest]],Model_draft_inc_temp_data!B:B,Model_draft_inc_temp_data!H:H, "No Match")</f>
        <v>4</v>
      </c>
      <c r="F10">
        <f>_xlfn.XLOOKUP(Table6[[#This Row],[Nest]],Model_draft_inc_temp_data!B:B,Model_draft_inc_temp_data!J:J, "No Match")</f>
        <v>1</v>
      </c>
      <c r="G10">
        <v>13</v>
      </c>
      <c r="H10" s="11" cm="1">
        <f t="array" ref="H10">_xlfn.XLOOKUP(Table6[[#This Row],[Nest]]&amp;Table6[[#This Row],[Obs_date]],Model_draft_inc_temp_data!B:B&amp;Model_draft_inc_temp_data!M:M,Model_draft_inc_temp_data!F:F, "No Match")</f>
        <v>43778</v>
      </c>
      <c r="I10" s="11" cm="1">
        <f t="array" ref="I10">_xlfn.XLOOKUP(Table6[[#This Row],[Nest]]&amp;Table6[[#This Row],[Obs_date]], Model_draft_inc_temp_data!B:B&amp;Model_draft_inc_temp_data!M:M, Model_draft_inc_temp_data!I:I, "No Match")</f>
        <v>43782</v>
      </c>
      <c r="J10" s="11" cm="1">
        <f t="array" ref="J10">_xlfn.XLOOKUP(Table6[[#This Row],[Nest]]&amp;Table6[[#This Row],[Day_of_inc]],Model_draft_inc_temp_data!B:B&amp;Model_draft_inc_temp_data!O:O,Model_draft_inc_temp_data!M:M, "No Match")</f>
        <v>43795</v>
      </c>
      <c r="K10" s="16" cm="1">
        <f t="array" ref="K10">_xlfn.XLOOKUP(Table6[[#This Row],[Nest]]&amp;Table6[[#This Row],[Obs_date]],Sheet2!B:B&amp;Sheet2!E:E, Sheet2!F:F, "No Match")</f>
        <v>0.48002314814814817</v>
      </c>
      <c r="L10">
        <f>_xlfn.XLOOKUP(Table6[[#This Row],[Obs_date]],'19-20_niwa_temp_data'!B:B,'19-20_niwa_temp_data'!G:G, "No Match")</f>
        <v>16.664933243190625</v>
      </c>
      <c r="M10">
        <f>_xlfn.XLOOKUP(Table6[[#This Row],[Nest]],Model_draft_inc_temp_data!B:B,Model_draft_inc_temp_data!L:L, "No Match")</f>
        <v>14</v>
      </c>
      <c r="N10" s="16">
        <v>0</v>
      </c>
      <c r="O10">
        <f>Table6[[#This Row],[Total_on_bout_duration]]*86400</f>
        <v>0</v>
      </c>
      <c r="P10" s="16">
        <v>4.1550925925925922E-3</v>
      </c>
      <c r="Q10">
        <v>65</v>
      </c>
      <c r="R10" s="22">
        <f>Table6[[#This Row],[Total_obs_length_minutes]]*60</f>
        <v>3900</v>
      </c>
      <c r="S10">
        <f>Table6[[#This Row],[Total_on_bout_duration_seconds]]/Table6[[#This Row],[Total_obs_length_seconds]]</f>
        <v>0</v>
      </c>
    </row>
    <row r="11" spans="1:19" x14ac:dyDescent="0.35">
      <c r="A11" t="s">
        <v>9</v>
      </c>
      <c r="B11" t="s">
        <v>55</v>
      </c>
      <c r="C11" t="str">
        <f>_xlfn.XLOOKUP(Table6[[#This Row],[Nest]],Model_draft_inc_temp_data!B:B,Model_draft_inc_temp_data!C:C, "No Match")</f>
        <v>CP13553</v>
      </c>
      <c r="D11">
        <f>_xlfn.XLOOKUP(Table6[[#This Row],[Female_ID]],Model_draft_inc_temp_data!C:C,Model_draft_inc_temp_data!E:E,"No Match")</f>
        <v>1</v>
      </c>
      <c r="E11">
        <f>_xlfn.XLOOKUP(Table6[[#This Row],[Nest]],Model_draft_inc_temp_data!B:B,Model_draft_inc_temp_data!H:H, "No Match")</f>
        <v>4</v>
      </c>
      <c r="F11">
        <f>_xlfn.XLOOKUP(Table6[[#This Row],[Nest]],Model_draft_inc_temp_data!B:B,Model_draft_inc_temp_data!J:J, "No Match")</f>
        <v>0</v>
      </c>
      <c r="G11">
        <v>1</v>
      </c>
      <c r="H11" s="11" cm="1">
        <f t="array" ref="H11">_xlfn.XLOOKUP(Table6[[#This Row],[Nest]]&amp;Table6[[#This Row],[Obs_date]],Model_draft_inc_temp_data!B:B&amp;Model_draft_inc_temp_data!M:M,Model_draft_inc_temp_data!F:F, "No Match")</f>
        <v>43790</v>
      </c>
      <c r="I11" s="11" cm="1">
        <f t="array" ref="I11">_xlfn.XLOOKUP(Table6[[#This Row],[Nest]]&amp;Table6[[#This Row],[Obs_date]], Model_draft_inc_temp_data!B:B&amp;Model_draft_inc_temp_data!M:M, Model_draft_inc_temp_data!I:I, "No Match")</f>
        <v>43793</v>
      </c>
      <c r="J11" s="11" cm="1">
        <f t="array" ref="J11">_xlfn.XLOOKUP(Table6[[#This Row],[Nest]]&amp;Table6[[#This Row],[Day_of_inc]],Model_draft_inc_temp_data!B:B&amp;Model_draft_inc_temp_data!O:O,Model_draft_inc_temp_data!M:M, "No Match")</f>
        <v>43794</v>
      </c>
      <c r="K11" s="16" cm="1">
        <f t="array" ref="K11">_xlfn.XLOOKUP(Table6[[#This Row],[Nest]]&amp;Table6[[#This Row],[Obs_date]],Sheet2!B:B&amp;Sheet2!E:E, Sheet2!F:F, "No Match")</f>
        <v>0.54236111111111107</v>
      </c>
      <c r="L11">
        <f>_xlfn.XLOOKUP(Table6[[#This Row],[Obs_date]],'19-20_niwa_temp_data'!B:B,'19-20_niwa_temp_data'!G:G, "No Match")</f>
        <v>16.725429740368405</v>
      </c>
      <c r="M11">
        <f>_xlfn.XLOOKUP(Table6[[#This Row],[Nest]],Model_draft_inc_temp_data!B:B,Model_draft_inc_temp_data!L:L, "No Match")</f>
        <v>15</v>
      </c>
      <c r="N11" s="16">
        <v>1.0925925925925926E-2</v>
      </c>
      <c r="O11">
        <f>Table6[[#This Row],[Total_on_bout_duration]]*86400</f>
        <v>944</v>
      </c>
      <c r="P11" s="16">
        <v>1.0104166666666666E-2</v>
      </c>
      <c r="Q11">
        <v>67.283333330000005</v>
      </c>
      <c r="R11" s="22">
        <f>Table6[[#This Row],[Total_obs_length_minutes]]*60</f>
        <v>4036.9999998000003</v>
      </c>
      <c r="S11">
        <f>Table6[[#This Row],[Total_on_bout_duration_seconds]]/Table6[[#This Row],[Total_obs_length_seconds]]</f>
        <v>0.23383700769055421</v>
      </c>
    </row>
    <row r="12" spans="1:19" x14ac:dyDescent="0.35">
      <c r="A12" t="s">
        <v>9</v>
      </c>
      <c r="B12" t="s">
        <v>55</v>
      </c>
      <c r="C12" t="str">
        <f>_xlfn.XLOOKUP(Table6[[#This Row],[Nest]],Model_draft_inc_temp_data!B:B,Model_draft_inc_temp_data!C:C, "No Match")</f>
        <v>CP13553</v>
      </c>
      <c r="D12">
        <f>_xlfn.XLOOKUP(Table6[[#This Row],[Female_ID]],Model_draft_inc_temp_data!C:C,Model_draft_inc_temp_data!E:E,"No Match")</f>
        <v>1</v>
      </c>
      <c r="E12">
        <f>_xlfn.XLOOKUP(Table6[[#This Row],[Nest]],Model_draft_inc_temp_data!B:B,Model_draft_inc_temp_data!H:H, "No Match")</f>
        <v>4</v>
      </c>
      <c r="F12">
        <f>_xlfn.XLOOKUP(Table6[[#This Row],[Nest]],Model_draft_inc_temp_data!B:B,Model_draft_inc_temp_data!J:J, "No Match")</f>
        <v>0</v>
      </c>
      <c r="G12">
        <v>13</v>
      </c>
      <c r="H12" s="11" cm="1">
        <f t="array" ref="H12">_xlfn.XLOOKUP(Table6[[#This Row],[Nest]]&amp;Table6[[#This Row],[Obs_date]],Model_draft_inc_temp_data!B:B&amp;Model_draft_inc_temp_data!M:M,Model_draft_inc_temp_data!F:F, "No Match")</f>
        <v>43790</v>
      </c>
      <c r="I12" s="11" cm="1">
        <f t="array" ref="I12">_xlfn.XLOOKUP(Table6[[#This Row],[Nest]]&amp;Table6[[#This Row],[Obs_date]], Model_draft_inc_temp_data!B:B&amp;Model_draft_inc_temp_data!M:M, Model_draft_inc_temp_data!I:I, "No Match")</f>
        <v>43793</v>
      </c>
      <c r="J12" s="11" cm="1">
        <f t="array" ref="J12">_xlfn.XLOOKUP(Table6[[#This Row],[Nest]]&amp;Table6[[#This Row],[Day_of_inc]],Model_draft_inc_temp_data!B:B&amp;Model_draft_inc_temp_data!O:O,Model_draft_inc_temp_data!M:M, "No Match")</f>
        <v>43805</v>
      </c>
      <c r="K12" s="16" cm="1">
        <f t="array" ref="K12">_xlfn.XLOOKUP(Table6[[#This Row],[Nest]]&amp;Table6[[#This Row],[Obs_date]],Sheet2!B:B&amp;Sheet2!E:E, Sheet2!F:F, "No Match")</f>
        <v>0.59097222222222223</v>
      </c>
      <c r="L12">
        <f>_xlfn.XLOOKUP(Table6[[#This Row],[Obs_date]],'19-20_niwa_temp_data'!B:B,'19-20_niwa_temp_data'!G:G, "No Match")</f>
        <v>17.764852940567788</v>
      </c>
      <c r="M12">
        <f>_xlfn.XLOOKUP(Table6[[#This Row],[Nest]],Model_draft_inc_temp_data!B:B,Model_draft_inc_temp_data!L:L, "No Match")</f>
        <v>15</v>
      </c>
      <c r="N12" s="16">
        <v>2.2013888888888888E-2</v>
      </c>
      <c r="O12">
        <f>Table6[[#This Row],[Total_on_bout_duration]]*86400</f>
        <v>1902</v>
      </c>
      <c r="P12" s="16">
        <v>4.2812499999999996E-2</v>
      </c>
      <c r="Q12">
        <v>60</v>
      </c>
      <c r="R12" s="22">
        <f>Table6[[#This Row],[Total_obs_length_minutes]]*60</f>
        <v>3600</v>
      </c>
      <c r="S12">
        <f>Table6[[#This Row],[Total_on_bout_duration_seconds]]/Table6[[#This Row],[Total_obs_length_seconds]]</f>
        <v>0.52833333333333332</v>
      </c>
    </row>
    <row r="13" spans="1:19" x14ac:dyDescent="0.35">
      <c r="A13" t="s">
        <v>9</v>
      </c>
      <c r="B13" t="s">
        <v>68</v>
      </c>
      <c r="C13" t="str">
        <f>_xlfn.XLOOKUP(Table6[[#This Row],[Nest]],Model_draft_inc_temp_data!B:B,Model_draft_inc_temp_data!C:C, "No Match")</f>
        <v>CP13020</v>
      </c>
      <c r="D13">
        <f>_xlfn.XLOOKUP(Table6[[#This Row],[Female_ID]],Model_draft_inc_temp_data!C:C,Model_draft_inc_temp_data!E:E,"No Match")</f>
        <v>2</v>
      </c>
      <c r="E13">
        <f>_xlfn.XLOOKUP(Table6[[#This Row],[Nest]],Model_draft_inc_temp_data!B:B,Model_draft_inc_temp_data!H:H, "No Match")</f>
        <v>3</v>
      </c>
      <c r="F13">
        <f>_xlfn.XLOOKUP(Table6[[#This Row],[Nest]],Model_draft_inc_temp_data!B:B,Model_draft_inc_temp_data!J:J, "No Match")</f>
        <v>0</v>
      </c>
      <c r="G13">
        <v>1</v>
      </c>
      <c r="H13" s="11" cm="1">
        <f t="array" ref="H13">_xlfn.XLOOKUP(Table6[[#This Row],[Nest]]&amp;Table6[[#This Row],[Obs_date]],Model_draft_inc_temp_data!B:B&amp;Model_draft_inc_temp_data!M:M,Model_draft_inc_temp_data!F:F, "No Match")</f>
        <v>43802</v>
      </c>
      <c r="I13" s="11" cm="1">
        <f t="array" ref="I13">_xlfn.XLOOKUP(Table6[[#This Row],[Nest]]&amp;Table6[[#This Row],[Obs_date]], Model_draft_inc_temp_data!B:B&amp;Model_draft_inc_temp_data!M:M, Model_draft_inc_temp_data!I:I, "No Match")</f>
        <v>43804</v>
      </c>
      <c r="J13" s="11" cm="1">
        <f t="array" ref="J13">_xlfn.XLOOKUP(Table6[[#This Row],[Nest]]&amp;Table6[[#This Row],[Day_of_inc]],Model_draft_inc_temp_data!B:B&amp;Model_draft_inc_temp_data!O:O,Model_draft_inc_temp_data!M:M, "No Match")</f>
        <v>43805</v>
      </c>
      <c r="K13" s="16" cm="1">
        <f t="array" ref="K13">_xlfn.XLOOKUP(Table6[[#This Row],[Nest]]&amp;Table6[[#This Row],[Obs_date]],Sheet2!B:B&amp;Sheet2!E:E, Sheet2!F:F, "No Match")</f>
        <v>0.65504629629629629</v>
      </c>
      <c r="L13">
        <f>_xlfn.XLOOKUP(Table6[[#This Row],[Obs_date]],'19-20_niwa_temp_data'!B:B,'19-20_niwa_temp_data'!G:G, "No Match")</f>
        <v>17.764852940567788</v>
      </c>
      <c r="M13">
        <f>_xlfn.XLOOKUP(Table6[[#This Row],[Nest]],Model_draft_inc_temp_data!B:B,Model_draft_inc_temp_data!L:L, "No Match")</f>
        <v>15</v>
      </c>
      <c r="N13" s="16">
        <v>2.6053240740740741E-2</v>
      </c>
      <c r="O13">
        <f>Table6[[#This Row],[Total_on_bout_duration]]*86400</f>
        <v>2251</v>
      </c>
      <c r="P13" s="16">
        <v>4.0393518518518521E-3</v>
      </c>
      <c r="Q13">
        <v>77</v>
      </c>
      <c r="R13" s="22">
        <f>Table6[[#This Row],[Total_obs_length_minutes]]*60</f>
        <v>4620</v>
      </c>
      <c r="S13">
        <f>Table6[[#This Row],[Total_on_bout_duration_seconds]]/Table6[[#This Row],[Total_obs_length_seconds]]</f>
        <v>0.48722943722943723</v>
      </c>
    </row>
    <row r="14" spans="1:19" x14ac:dyDescent="0.35">
      <c r="A14" t="s">
        <v>9</v>
      </c>
      <c r="B14" t="s">
        <v>10</v>
      </c>
      <c r="C14" t="str">
        <f>_xlfn.XLOOKUP(Table6[[#This Row],[Nest]],Model_draft_inc_temp_data!B:B,Model_draft_inc_temp_data!C:C, "No Match")</f>
        <v>CP9222</v>
      </c>
      <c r="D14">
        <f>_xlfn.XLOOKUP(Table6[[#This Row],[Female_ID]],Model_draft_inc_temp_data!C:C,Model_draft_inc_temp_data!E:E,"No Match")</f>
        <v>4</v>
      </c>
      <c r="E14">
        <f>_xlfn.XLOOKUP(Table6[[#This Row],[Nest]],Model_draft_inc_temp_data!B:B,Model_draft_inc_temp_data!H:H, "No Match")</f>
        <v>4</v>
      </c>
      <c r="F14">
        <f>_xlfn.XLOOKUP(Table6[[#This Row],[Nest]],Model_draft_inc_temp_data!B:B,Model_draft_inc_temp_data!J:J, "No Match")</f>
        <v>0</v>
      </c>
      <c r="G14">
        <v>3</v>
      </c>
      <c r="H14" s="11" cm="1">
        <f t="array" ref="H14">_xlfn.XLOOKUP(Table6[[#This Row],[Nest]]&amp;Table6[[#This Row],[Obs_date]],Model_draft_inc_temp_data!B:B&amp;Model_draft_inc_temp_data!M:M,Model_draft_inc_temp_data!F:F, "No Match")</f>
        <v>43765</v>
      </c>
      <c r="I14" s="11" cm="1">
        <f t="array" ref="I14">_xlfn.XLOOKUP(Table6[[#This Row],[Nest]]&amp;Table6[[#This Row],[Obs_date]], Model_draft_inc_temp_data!B:B&amp;Model_draft_inc_temp_data!M:M, Model_draft_inc_temp_data!I:I, "No Match")</f>
        <v>43768</v>
      </c>
      <c r="J14" s="11" cm="1">
        <f t="array" ref="J14">_xlfn.XLOOKUP(Table6[[#This Row],[Nest]]&amp;Table6[[#This Row],[Day_of_inc]],Model_draft_inc_temp_data!B:B&amp;Model_draft_inc_temp_data!O:O,Model_draft_inc_temp_data!M:M, "No Match")</f>
        <v>43771</v>
      </c>
      <c r="K14" s="16" cm="1">
        <f t="array" ref="K14">_xlfn.XLOOKUP(Table6[[#This Row],[Nest]]&amp;Table6[[#This Row],[Obs_date]],Sheet2!B:B&amp;Sheet2!E:E, Sheet2!F:F, "No Match")</f>
        <v>0.55138888888888893</v>
      </c>
      <c r="L14">
        <f>_xlfn.XLOOKUP(Table6[[#This Row],[Obs_date]],'19-20_niwa_temp_data'!B:B,'19-20_niwa_temp_data'!G:G, "No Match")</f>
        <v>13.655768012089251</v>
      </c>
      <c r="M14" t="str">
        <f>_xlfn.XLOOKUP(Table6[[#This Row],[Nest]],Model_draft_inc_temp_data!B:B,Model_draft_inc_temp_data!L:L, "No Match")</f>
        <v>N/A</v>
      </c>
      <c r="N14" s="16">
        <v>2.1759259259259259E-2</v>
      </c>
      <c r="O14">
        <f>Table6[[#This Row],[Total_on_bout_duration]]*86400</f>
        <v>1880</v>
      </c>
      <c r="P14" s="16">
        <v>8.86574074074074E-3</v>
      </c>
      <c r="Q14">
        <v>99</v>
      </c>
      <c r="R14" s="22">
        <f>Table6[[#This Row],[Total_obs_length_minutes]]*60</f>
        <v>5940</v>
      </c>
      <c r="S14">
        <f>Table6[[#This Row],[Total_on_bout_duration_seconds]]/Table6[[#This Row],[Total_obs_length_seconds]]</f>
        <v>0.3164983164983165</v>
      </c>
    </row>
    <row r="15" spans="1:19" x14ac:dyDescent="0.35">
      <c r="A15" t="s">
        <v>9</v>
      </c>
      <c r="B15" t="s">
        <v>20</v>
      </c>
      <c r="C15" t="str">
        <f>_xlfn.XLOOKUP(Table6[[#This Row],[Nest]],Model_draft_inc_temp_data!B:B,Model_draft_inc_temp_data!C:C, "No Match")</f>
        <v>CP8115</v>
      </c>
      <c r="D15">
        <f>_xlfn.XLOOKUP(Table6[[#This Row],[Female_ID]],Model_draft_inc_temp_data!C:C,Model_draft_inc_temp_data!E:E,"No Match")</f>
        <v>5</v>
      </c>
      <c r="E15">
        <f>_xlfn.XLOOKUP(Table6[[#This Row],[Nest]],Model_draft_inc_temp_data!B:B,Model_draft_inc_temp_data!H:H, "No Match")</f>
        <v>4</v>
      </c>
      <c r="F15">
        <f>_xlfn.XLOOKUP(Table6[[#This Row],[Nest]],Model_draft_inc_temp_data!B:B,Model_draft_inc_temp_data!J:J, "No Match")</f>
        <v>0</v>
      </c>
      <c r="G15">
        <v>1</v>
      </c>
      <c r="H15" s="11" cm="1">
        <f t="array" ref="H15">_xlfn.XLOOKUP(Table6[[#This Row],[Nest]]&amp;Table6[[#This Row],[Obs_date]],Model_draft_inc_temp_data!B:B&amp;Model_draft_inc_temp_data!M:M,Model_draft_inc_temp_data!F:F, "No Match")</f>
        <v>43772</v>
      </c>
      <c r="I15" s="11" cm="1">
        <f t="array" ref="I15">_xlfn.XLOOKUP(Table6[[#This Row],[Nest]]&amp;Table6[[#This Row],[Obs_date]], Model_draft_inc_temp_data!B:B&amp;Model_draft_inc_temp_data!M:M, Model_draft_inc_temp_data!I:I, "No Match")</f>
        <v>43775</v>
      </c>
      <c r="J15" s="11" cm="1">
        <f t="array" ref="J15">_xlfn.XLOOKUP(Table6[[#This Row],[Nest]]&amp;Table6[[#This Row],[Day_of_inc]],Model_draft_inc_temp_data!B:B&amp;Model_draft_inc_temp_data!O:O,Model_draft_inc_temp_data!M:M, "No Match")</f>
        <v>43776</v>
      </c>
      <c r="K15" s="16" cm="1">
        <f t="array" ref="K15">_xlfn.XLOOKUP(Table6[[#This Row],[Nest]]&amp;Table6[[#This Row],[Obs_date]],Sheet2!B:B&amp;Sheet2!E:E, Sheet2!F:F, "No Match")</f>
        <v>0.70763888888888893</v>
      </c>
      <c r="L15">
        <f>_xlfn.XLOOKUP(Table6[[#This Row],[Obs_date]],'19-20_niwa_temp_data'!B:B,'19-20_niwa_temp_data'!G:G, "No Match")</f>
        <v>17.675972391922318</v>
      </c>
      <c r="M15">
        <f>_xlfn.XLOOKUP(Table6[[#This Row],[Nest]],Model_draft_inc_temp_data!B:B,Model_draft_inc_temp_data!L:L, "No Match")</f>
        <v>15</v>
      </c>
      <c r="N15" s="16">
        <v>0</v>
      </c>
      <c r="O15">
        <f>Table6[[#This Row],[Total_on_bout_duration]]*86400</f>
        <v>0</v>
      </c>
      <c r="P15" s="16">
        <v>1.4583333333333334E-2</v>
      </c>
      <c r="Q15">
        <v>47.85</v>
      </c>
      <c r="R15" s="22">
        <f>Table6[[#This Row],[Total_obs_length_minutes]]*60</f>
        <v>2871</v>
      </c>
      <c r="S15">
        <f>Table6[[#This Row],[Total_on_bout_duration_seconds]]/Table6[[#This Row],[Total_obs_length_seconds]]</f>
        <v>0</v>
      </c>
    </row>
    <row r="16" spans="1:19" x14ac:dyDescent="0.35">
      <c r="A16" t="s">
        <v>9</v>
      </c>
      <c r="B16" t="s">
        <v>20</v>
      </c>
      <c r="C16" t="str">
        <f>_xlfn.XLOOKUP(Table6[[#This Row],[Nest]],Model_draft_inc_temp_data!B:B,Model_draft_inc_temp_data!C:C, "No Match")</f>
        <v>CP8115</v>
      </c>
      <c r="D16">
        <f>_xlfn.XLOOKUP(Table6[[#This Row],[Female_ID]],Model_draft_inc_temp_data!C:C,Model_draft_inc_temp_data!E:E,"No Match")</f>
        <v>5</v>
      </c>
      <c r="E16">
        <f>_xlfn.XLOOKUP(Table6[[#This Row],[Nest]],Model_draft_inc_temp_data!B:B,Model_draft_inc_temp_data!H:H, "No Match")</f>
        <v>4</v>
      </c>
      <c r="F16">
        <f>_xlfn.XLOOKUP(Table6[[#This Row],[Nest]],Model_draft_inc_temp_data!B:B,Model_draft_inc_temp_data!J:J, "No Match")</f>
        <v>0</v>
      </c>
      <c r="G16">
        <v>2</v>
      </c>
      <c r="H16" s="11" cm="1">
        <f t="array" ref="H16">_xlfn.XLOOKUP(Table6[[#This Row],[Nest]]&amp;Table6[[#This Row],[Obs_date]],Model_draft_inc_temp_data!B:B&amp;Model_draft_inc_temp_data!M:M,Model_draft_inc_temp_data!F:F, "No Match")</f>
        <v>43772</v>
      </c>
      <c r="I16" s="11" cm="1">
        <f t="array" ref="I16">_xlfn.XLOOKUP(Table6[[#This Row],[Nest]]&amp;Table6[[#This Row],[Obs_date]], Model_draft_inc_temp_data!B:B&amp;Model_draft_inc_temp_data!M:M, Model_draft_inc_temp_data!I:I, "No Match")</f>
        <v>43775</v>
      </c>
      <c r="J16" s="11" cm="1">
        <f t="array" ref="J16">_xlfn.XLOOKUP(Table6[[#This Row],[Nest]]&amp;Table6[[#This Row],[Day_of_inc]],Model_draft_inc_temp_data!B:B&amp;Model_draft_inc_temp_data!O:O,Model_draft_inc_temp_data!M:M, "No Match")</f>
        <v>43776</v>
      </c>
      <c r="K16" s="16" cm="1">
        <f t="array" ref="K16">_xlfn.XLOOKUP(Table6[[#This Row],[Nest]]&amp;Table6[[#This Row],[Obs_date]],Sheet2!B:B&amp;Sheet2!E:E, Sheet2!F:F, "No Match")</f>
        <v>0.70763888888888893</v>
      </c>
      <c r="L16">
        <f>_xlfn.XLOOKUP(Table6[[#This Row],[Obs_date]],'19-20_niwa_temp_data'!B:B,'19-20_niwa_temp_data'!G:G, "No Match")</f>
        <v>17.675972391922318</v>
      </c>
      <c r="M16">
        <f>_xlfn.XLOOKUP(Table6[[#This Row],[Nest]],Model_draft_inc_temp_data!B:B,Model_draft_inc_temp_data!L:L, "No Match")</f>
        <v>15</v>
      </c>
      <c r="N16" s="16">
        <v>1.2962962962962963E-2</v>
      </c>
      <c r="O16">
        <f>Table6[[#This Row],[Total_on_bout_duration]]*86400</f>
        <v>1120</v>
      </c>
      <c r="P16" s="16">
        <v>4.6759259259259257E-2</v>
      </c>
      <c r="Q16">
        <v>47.85</v>
      </c>
      <c r="R16" s="22">
        <f>Table6[[#This Row],[Total_obs_length_minutes]]*60</f>
        <v>2871</v>
      </c>
      <c r="S16">
        <f>Table6[[#This Row],[Total_on_bout_duration_seconds]]/Table6[[#This Row],[Total_obs_length_seconds]]</f>
        <v>0.39010797631487287</v>
      </c>
    </row>
    <row r="17" spans="1:19" x14ac:dyDescent="0.35">
      <c r="A17" t="s">
        <v>9</v>
      </c>
      <c r="B17" t="s">
        <v>20</v>
      </c>
      <c r="C17" t="str">
        <f>_xlfn.XLOOKUP(Table6[[#This Row],[Nest]],Model_draft_inc_temp_data!B:B,Model_draft_inc_temp_data!C:C, "No Match")</f>
        <v>CP8115</v>
      </c>
      <c r="D17">
        <f>_xlfn.XLOOKUP(Table6[[#This Row],[Female_ID]],Model_draft_inc_temp_data!C:C,Model_draft_inc_temp_data!E:E,"No Match")</f>
        <v>5</v>
      </c>
      <c r="E17">
        <f>_xlfn.XLOOKUP(Table6[[#This Row],[Nest]],Model_draft_inc_temp_data!B:B,Model_draft_inc_temp_data!H:H, "No Match")</f>
        <v>4</v>
      </c>
      <c r="F17">
        <f>_xlfn.XLOOKUP(Table6[[#This Row],[Nest]],Model_draft_inc_temp_data!B:B,Model_draft_inc_temp_data!J:J, "No Match")</f>
        <v>0</v>
      </c>
      <c r="G17">
        <v>7</v>
      </c>
      <c r="H17" s="11" cm="1">
        <f t="array" ref="H17">_xlfn.XLOOKUP(Table6[[#This Row],[Nest]]&amp;Table6[[#This Row],[Obs_date]],Model_draft_inc_temp_data!B:B&amp;Model_draft_inc_temp_data!M:M,Model_draft_inc_temp_data!F:F, "No Match")</f>
        <v>43772</v>
      </c>
      <c r="I17" s="11" cm="1">
        <f t="array" ref="I17">_xlfn.XLOOKUP(Table6[[#This Row],[Nest]]&amp;Table6[[#This Row],[Obs_date]], Model_draft_inc_temp_data!B:B&amp;Model_draft_inc_temp_data!M:M, Model_draft_inc_temp_data!I:I, "No Match")</f>
        <v>43775</v>
      </c>
      <c r="J17" s="11" cm="1">
        <f t="array" ref="J17">_xlfn.XLOOKUP(Table6[[#This Row],[Nest]]&amp;Table6[[#This Row],[Day_of_inc]],Model_draft_inc_temp_data!B:B&amp;Model_draft_inc_temp_data!O:O,Model_draft_inc_temp_data!M:M, "No Match")</f>
        <v>43782</v>
      </c>
      <c r="K17" s="16" cm="1">
        <f t="array" ref="K17">_xlfn.XLOOKUP(Table6[[#This Row],[Nest]]&amp;Table6[[#This Row],[Obs_date]],Sheet2!B:B&amp;Sheet2!E:E, Sheet2!F:F, "No Match")</f>
        <v>0.72629629629629633</v>
      </c>
      <c r="L17">
        <f>_xlfn.XLOOKUP(Table6[[#This Row],[Obs_date]],'19-20_niwa_temp_data'!B:B,'19-20_niwa_temp_data'!G:G, "No Match")</f>
        <v>11.944873377311289</v>
      </c>
      <c r="M17">
        <f>_xlfn.XLOOKUP(Table6[[#This Row],[Nest]],Model_draft_inc_temp_data!B:B,Model_draft_inc_temp_data!L:L, "No Match")</f>
        <v>15</v>
      </c>
      <c r="N17" s="16">
        <v>4.4641203703703704E-2</v>
      </c>
      <c r="O17">
        <f>Table6[[#This Row],[Total_on_bout_duration]]*86400</f>
        <v>3857</v>
      </c>
      <c r="P17" s="16">
        <v>4.8842592592592592E-3</v>
      </c>
      <c r="Q17">
        <v>65</v>
      </c>
      <c r="R17" s="22">
        <f>Table6[[#This Row],[Total_obs_length_minutes]]*60</f>
        <v>3900</v>
      </c>
      <c r="S17">
        <f>Table6[[#This Row],[Total_on_bout_duration_seconds]]/Table6[[#This Row],[Total_obs_length_seconds]]</f>
        <v>0.98897435897435892</v>
      </c>
    </row>
    <row r="18" spans="1:19" x14ac:dyDescent="0.35">
      <c r="A18" t="s">
        <v>9</v>
      </c>
      <c r="B18" t="s">
        <v>20</v>
      </c>
      <c r="C18" t="str">
        <f>_xlfn.XLOOKUP(Table6[[#This Row],[Nest]],Model_draft_inc_temp_data!B:B,Model_draft_inc_temp_data!C:C, "No Match")</f>
        <v>CP8115</v>
      </c>
      <c r="D18">
        <f>_xlfn.XLOOKUP(Table6[[#This Row],[Female_ID]],Model_draft_inc_temp_data!C:C,Model_draft_inc_temp_data!E:E,"No Match")</f>
        <v>5</v>
      </c>
      <c r="E18">
        <f>_xlfn.XLOOKUP(Table6[[#This Row],[Nest]],Model_draft_inc_temp_data!B:B,Model_draft_inc_temp_data!H:H, "No Match")</f>
        <v>4</v>
      </c>
      <c r="F18">
        <f>_xlfn.XLOOKUP(Table6[[#This Row],[Nest]],Model_draft_inc_temp_data!B:B,Model_draft_inc_temp_data!J:J, "No Match")</f>
        <v>0</v>
      </c>
      <c r="G18">
        <v>13</v>
      </c>
      <c r="H18" s="11" cm="1">
        <f t="array" ref="H18">_xlfn.XLOOKUP(Table6[[#This Row],[Nest]]&amp;Table6[[#This Row],[Obs_date]],Model_draft_inc_temp_data!B:B&amp;Model_draft_inc_temp_data!M:M,Model_draft_inc_temp_data!F:F, "No Match")</f>
        <v>43772</v>
      </c>
      <c r="I18" s="11" cm="1">
        <f t="array" ref="I18">_xlfn.XLOOKUP(Table6[[#This Row],[Nest]]&amp;Table6[[#This Row],[Obs_date]], Model_draft_inc_temp_data!B:B&amp;Model_draft_inc_temp_data!M:M, Model_draft_inc_temp_data!I:I, "No Match")</f>
        <v>43775</v>
      </c>
      <c r="J18" s="11" cm="1">
        <f t="array" ref="J18">_xlfn.XLOOKUP(Table6[[#This Row],[Nest]]&amp;Table6[[#This Row],[Day_of_inc]],Model_draft_inc_temp_data!B:B&amp;Model_draft_inc_temp_data!O:O,Model_draft_inc_temp_data!M:M, "No Match")</f>
        <v>43788</v>
      </c>
      <c r="K18" s="16" cm="1">
        <f t="array" ref="K18">_xlfn.XLOOKUP(Table6[[#This Row],[Nest]]&amp;Table6[[#This Row],[Obs_date]],Sheet2!B:B&amp;Sheet2!E:E, Sheet2!F:F, "No Match")</f>
        <v>0.48716435185185186</v>
      </c>
      <c r="L18">
        <f>_xlfn.XLOOKUP(Table6[[#This Row],[Obs_date]],'19-20_niwa_temp_data'!B:B,'19-20_niwa_temp_data'!G:G, "No Match")</f>
        <v>14.974979131871937</v>
      </c>
      <c r="M18">
        <f>_xlfn.XLOOKUP(Table6[[#This Row],[Nest]],Model_draft_inc_temp_data!B:B,Model_draft_inc_temp_data!L:L, "No Match")</f>
        <v>15</v>
      </c>
      <c r="N18" s="16">
        <v>1.6701388888888891E-2</v>
      </c>
      <c r="O18">
        <f>Table6[[#This Row],[Total_on_bout_duration]]*86400</f>
        <v>1443.0000000000002</v>
      </c>
      <c r="P18" s="16">
        <v>1.8055555555555555E-3</v>
      </c>
      <c r="Q18">
        <v>60</v>
      </c>
      <c r="R18" s="22">
        <f>Table6[[#This Row],[Total_obs_length_minutes]]*60</f>
        <v>3600</v>
      </c>
      <c r="S18">
        <f>Table6[[#This Row],[Total_on_bout_duration_seconds]]/Table6[[#This Row],[Total_obs_length_seconds]]</f>
        <v>0.40083333333333337</v>
      </c>
    </row>
    <row r="19" spans="1:19" x14ac:dyDescent="0.35">
      <c r="A19" t="s">
        <v>9</v>
      </c>
      <c r="B19" t="s">
        <v>58</v>
      </c>
      <c r="C19" t="str">
        <f>_xlfn.XLOOKUP(Table6[[#This Row],[Nest]],Model_draft_inc_temp_data!B:B,Model_draft_inc_temp_data!C:C, "No Match")</f>
        <v>CP13510</v>
      </c>
      <c r="D19">
        <f>_xlfn.XLOOKUP(Table6[[#This Row],[Female_ID]],Model_draft_inc_temp_data!C:C,Model_draft_inc_temp_data!E:E,"No Match")</f>
        <v>1</v>
      </c>
      <c r="E19">
        <f>_xlfn.XLOOKUP(Table6[[#This Row],[Nest]],Model_draft_inc_temp_data!B:B,Model_draft_inc_temp_data!H:H, "No Match")</f>
        <v>3</v>
      </c>
      <c r="F19">
        <f>_xlfn.XLOOKUP(Table6[[#This Row],[Nest]],Model_draft_inc_temp_data!B:B,Model_draft_inc_temp_data!J:J, "No Match")</f>
        <v>0</v>
      </c>
      <c r="G19">
        <v>1</v>
      </c>
      <c r="H19" s="11" cm="1">
        <f t="array" ref="H19">_xlfn.XLOOKUP(Table6[[#This Row],[Nest]]&amp;Table6[[#This Row],[Obs_date]],Model_draft_inc_temp_data!B:B&amp;Model_draft_inc_temp_data!M:M,Model_draft_inc_temp_data!F:F, "No Match")</f>
        <v>43792</v>
      </c>
      <c r="I19" s="11" cm="1">
        <f t="array" ref="I19">_xlfn.XLOOKUP(Table6[[#This Row],[Nest]]&amp;Table6[[#This Row],[Obs_date]], Model_draft_inc_temp_data!B:B&amp;Model_draft_inc_temp_data!M:M, Model_draft_inc_temp_data!I:I, "No Match")</f>
        <v>43794</v>
      </c>
      <c r="J19" s="11" cm="1">
        <f t="array" ref="J19">_xlfn.XLOOKUP(Table6[[#This Row],[Nest]]&amp;Table6[[#This Row],[Day_of_inc]],Model_draft_inc_temp_data!B:B&amp;Model_draft_inc_temp_data!O:O,Model_draft_inc_temp_data!M:M, "No Match")</f>
        <v>43796</v>
      </c>
      <c r="K19" s="16" cm="1">
        <f t="array" ref="K19">_xlfn.XLOOKUP(Table6[[#This Row],[Nest]]&amp;Table6[[#This Row],[Obs_date]],Sheet2!B:B&amp;Sheet2!E:E, Sheet2!F:F, "No Match")</f>
        <v>0.64976851851851847</v>
      </c>
      <c r="L19">
        <f>_xlfn.XLOOKUP(Table6[[#This Row],[Obs_date]],'19-20_niwa_temp_data'!B:B,'19-20_niwa_temp_data'!G:G, "No Match")</f>
        <v>17.287857010051884</v>
      </c>
      <c r="M19">
        <f>_xlfn.XLOOKUP(Table6[[#This Row],[Nest]],Model_draft_inc_temp_data!B:B,Model_draft_inc_temp_data!L:L, "No Match")</f>
        <v>15</v>
      </c>
      <c r="N19" s="16">
        <v>3.1597222222222222E-3</v>
      </c>
      <c r="O19">
        <f>Table6[[#This Row],[Total_on_bout_duration]]*86400</f>
        <v>273</v>
      </c>
      <c r="P19" s="16">
        <v>4.0393518518518521E-3</v>
      </c>
      <c r="Q19">
        <v>62</v>
      </c>
      <c r="R19" s="22">
        <f>Table6[[#This Row],[Total_obs_length_minutes]]*60</f>
        <v>3720</v>
      </c>
      <c r="S19">
        <f>Table6[[#This Row],[Total_on_bout_duration_seconds]]/Table6[[#This Row],[Total_obs_length_seconds]]</f>
        <v>7.3387096774193541E-2</v>
      </c>
    </row>
    <row r="20" spans="1:19" x14ac:dyDescent="0.35">
      <c r="A20" t="s">
        <v>9</v>
      </c>
      <c r="B20" t="s">
        <v>58</v>
      </c>
      <c r="C20" t="str">
        <f>_xlfn.XLOOKUP(Table6[[#This Row],[Nest]],Model_draft_inc_temp_data!B:B,Model_draft_inc_temp_data!C:C, "No Match")</f>
        <v>CP13510</v>
      </c>
      <c r="D20">
        <f>_xlfn.XLOOKUP(Table6[[#This Row],[Female_ID]],Model_draft_inc_temp_data!C:C,Model_draft_inc_temp_data!E:E,"No Match")</f>
        <v>1</v>
      </c>
      <c r="E20">
        <f>_xlfn.XLOOKUP(Table6[[#This Row],[Nest]],Model_draft_inc_temp_data!B:B,Model_draft_inc_temp_data!H:H, "No Match")</f>
        <v>3</v>
      </c>
      <c r="F20">
        <f>_xlfn.XLOOKUP(Table6[[#This Row],[Nest]],Model_draft_inc_temp_data!B:B,Model_draft_inc_temp_data!J:J, "No Match")</f>
        <v>0</v>
      </c>
      <c r="G20">
        <v>7</v>
      </c>
      <c r="H20" s="11" cm="1">
        <f t="array" ref="H20">_xlfn.XLOOKUP(Table6[[#This Row],[Nest]]&amp;Table6[[#This Row],[Obs_date]],Model_draft_inc_temp_data!B:B&amp;Model_draft_inc_temp_data!M:M,Model_draft_inc_temp_data!F:F, "No Match")</f>
        <v>43792</v>
      </c>
      <c r="I20" s="11" cm="1">
        <f t="array" ref="I20">_xlfn.XLOOKUP(Table6[[#This Row],[Nest]]&amp;Table6[[#This Row],[Obs_date]], Model_draft_inc_temp_data!B:B&amp;Model_draft_inc_temp_data!M:M, Model_draft_inc_temp_data!I:I, "No Match")</f>
        <v>43794</v>
      </c>
      <c r="J20" s="11" cm="1">
        <f t="array" ref="J20">_xlfn.XLOOKUP(Table6[[#This Row],[Nest]]&amp;Table6[[#This Row],[Day_of_inc]],Model_draft_inc_temp_data!B:B&amp;Model_draft_inc_temp_data!O:O,Model_draft_inc_temp_data!M:M, "No Match")</f>
        <v>43800</v>
      </c>
      <c r="K20" s="16" cm="1">
        <f t="array" ref="K20">_xlfn.XLOOKUP(Table6[[#This Row],[Nest]]&amp;Table6[[#This Row],[Obs_date]],Sheet2!B:B&amp;Sheet2!E:E, Sheet2!F:F, "No Match")</f>
        <v>0.6177893518518518</v>
      </c>
      <c r="L20">
        <f>_xlfn.XLOOKUP(Table6[[#This Row],[Obs_date]],'19-20_niwa_temp_data'!B:B,'19-20_niwa_temp_data'!G:G, "No Match")</f>
        <v>18.185708674670888</v>
      </c>
      <c r="M20">
        <f>_xlfn.XLOOKUP(Table6[[#This Row],[Nest]],Model_draft_inc_temp_data!B:B,Model_draft_inc_temp_data!L:L, "No Match")</f>
        <v>15</v>
      </c>
      <c r="N20" s="16">
        <v>3.5763888888888889E-3</v>
      </c>
      <c r="O20">
        <f>Table6[[#This Row],[Total_on_bout_duration]]*86400</f>
        <v>309</v>
      </c>
      <c r="P20" s="16">
        <v>2.3460648148148147E-2</v>
      </c>
      <c r="Q20">
        <v>65</v>
      </c>
      <c r="R20" s="22">
        <f>Table6[[#This Row],[Total_obs_length_minutes]]*60</f>
        <v>3900</v>
      </c>
      <c r="S20">
        <f>Table6[[#This Row],[Total_on_bout_duration_seconds]]/Table6[[#This Row],[Total_obs_length_seconds]]</f>
        <v>7.923076923076923E-2</v>
      </c>
    </row>
    <row r="21" spans="1:19" x14ac:dyDescent="0.35">
      <c r="A21" t="s">
        <v>9</v>
      </c>
      <c r="B21" t="s">
        <v>58</v>
      </c>
      <c r="C21" t="str">
        <f>_xlfn.XLOOKUP(Table6[[#This Row],[Nest]],Model_draft_inc_temp_data!B:B,Model_draft_inc_temp_data!C:C, "No Match")</f>
        <v>CP13510</v>
      </c>
      <c r="D21">
        <f>_xlfn.XLOOKUP(Table6[[#This Row],[Female_ID]],Model_draft_inc_temp_data!C:C,Model_draft_inc_temp_data!E:E,"No Match")</f>
        <v>1</v>
      </c>
      <c r="E21">
        <f>_xlfn.XLOOKUP(Table6[[#This Row],[Nest]],Model_draft_inc_temp_data!B:B,Model_draft_inc_temp_data!H:H, "No Match")</f>
        <v>3</v>
      </c>
      <c r="F21">
        <f>_xlfn.XLOOKUP(Table6[[#This Row],[Nest]],Model_draft_inc_temp_data!B:B,Model_draft_inc_temp_data!J:J, "No Match")</f>
        <v>0</v>
      </c>
      <c r="G21">
        <v>13</v>
      </c>
      <c r="H21" s="11" cm="1">
        <f t="array" ref="H21">_xlfn.XLOOKUP(Table6[[#This Row],[Nest]]&amp;Table6[[#This Row],[Obs_date]],Model_draft_inc_temp_data!B:B&amp;Model_draft_inc_temp_data!M:M,Model_draft_inc_temp_data!F:F, "No Match")</f>
        <v>43792</v>
      </c>
      <c r="I21" s="11" cm="1">
        <f t="array" ref="I21">_xlfn.XLOOKUP(Table6[[#This Row],[Nest]]&amp;Table6[[#This Row],[Obs_date]], Model_draft_inc_temp_data!B:B&amp;Model_draft_inc_temp_data!M:M, Model_draft_inc_temp_data!I:I, "No Match")</f>
        <v>43794</v>
      </c>
      <c r="J21" s="11" cm="1">
        <f t="array" ref="J21">_xlfn.XLOOKUP(Table6[[#This Row],[Nest]]&amp;Table6[[#This Row],[Day_of_inc]],Model_draft_inc_temp_data!B:B&amp;Model_draft_inc_temp_data!O:O,Model_draft_inc_temp_data!M:M, "No Match")</f>
        <v>43806</v>
      </c>
      <c r="K21" s="16" cm="1">
        <f t="array" ref="K21">_xlfn.XLOOKUP(Table6[[#This Row],[Nest]]&amp;Table6[[#This Row],[Obs_date]],Sheet2!B:B&amp;Sheet2!E:E, Sheet2!F:F, "No Match")</f>
        <v>0.47092592592592591</v>
      </c>
      <c r="L21">
        <f>_xlfn.XLOOKUP(Table6[[#This Row],[Obs_date]],'19-20_niwa_temp_data'!B:B,'19-20_niwa_temp_data'!G:G, "No Match")</f>
        <v>18.187358246870268</v>
      </c>
      <c r="M21">
        <f>_xlfn.XLOOKUP(Table6[[#This Row],[Nest]],Model_draft_inc_temp_data!B:B,Model_draft_inc_temp_data!L:L, "No Match")</f>
        <v>15</v>
      </c>
      <c r="N21" s="16">
        <v>3.3333333333333335E-3</v>
      </c>
      <c r="O21">
        <f>Table6[[#This Row],[Total_on_bout_duration]]*86400</f>
        <v>288</v>
      </c>
      <c r="P21" s="16">
        <v>2.8819444444444444E-3</v>
      </c>
      <c r="Q21">
        <v>60</v>
      </c>
      <c r="R21" s="22">
        <f>Table6[[#This Row],[Total_obs_length_minutes]]*60</f>
        <v>3600</v>
      </c>
      <c r="S21">
        <f>Table6[[#This Row],[Total_on_bout_duration_seconds]]/Table6[[#This Row],[Total_obs_length_seconds]]</f>
        <v>0.08</v>
      </c>
    </row>
    <row r="22" spans="1:19" x14ac:dyDescent="0.35">
      <c r="A22" t="s">
        <v>9</v>
      </c>
      <c r="B22" t="s">
        <v>15</v>
      </c>
      <c r="C22" t="str">
        <f>_xlfn.XLOOKUP(Table6[[#This Row],[Nest]],Model_draft_inc_temp_data!B:B,Model_draft_inc_temp_data!C:C, "No Match")</f>
        <v>CP13444</v>
      </c>
      <c r="D22">
        <f>_xlfn.XLOOKUP(Table6[[#This Row],[Female_ID]],Model_draft_inc_temp_data!C:C,Model_draft_inc_temp_data!E:E,"No Match")</f>
        <v>1</v>
      </c>
      <c r="E22">
        <f>_xlfn.XLOOKUP(Table6[[#This Row],[Nest]],Model_draft_inc_temp_data!B:B,Model_draft_inc_temp_data!H:H, "No Match")</f>
        <v>4</v>
      </c>
      <c r="F22">
        <f>_xlfn.XLOOKUP(Table6[[#This Row],[Nest]],Model_draft_inc_temp_data!B:B,Model_draft_inc_temp_data!J:J, "No Match")</f>
        <v>0</v>
      </c>
      <c r="G22">
        <v>2</v>
      </c>
      <c r="H22" s="11" cm="1">
        <f t="array" ref="H22">_xlfn.XLOOKUP(Table6[[#This Row],[Nest]]&amp;Table6[[#This Row],[Obs_date]],Model_draft_inc_temp_data!B:B&amp;Model_draft_inc_temp_data!M:M,Model_draft_inc_temp_data!F:F, "No Match")</f>
        <v>43770</v>
      </c>
      <c r="I22" s="11" cm="1">
        <f t="array" ref="I22">_xlfn.XLOOKUP(Table6[[#This Row],[Nest]]&amp;Table6[[#This Row],[Obs_date]], Model_draft_inc_temp_data!B:B&amp;Model_draft_inc_temp_data!M:M, Model_draft_inc_temp_data!I:I, "No Match")</f>
        <v>43773</v>
      </c>
      <c r="J22" s="11" cm="1">
        <f t="array" ref="J22">_xlfn.XLOOKUP(Table6[[#This Row],[Nest]]&amp;Table6[[#This Row],[Day_of_inc]],Model_draft_inc_temp_data!B:B&amp;Model_draft_inc_temp_data!O:O,Model_draft_inc_temp_data!M:M, "No Match")</f>
        <v>43774</v>
      </c>
      <c r="K22" s="16" cm="1">
        <f t="array" ref="K22">_xlfn.XLOOKUP(Table6[[#This Row],[Nest]]&amp;Table6[[#This Row],[Obs_date]],Sheet2!B:B&amp;Sheet2!E:E, Sheet2!F:F, "No Match")</f>
        <v>0.60763888888888884</v>
      </c>
      <c r="L22">
        <f>_xlfn.XLOOKUP(Table6[[#This Row],[Obs_date]],'19-20_niwa_temp_data'!B:B,'19-20_niwa_temp_data'!G:G, "No Match")</f>
        <v>16.129166128476697</v>
      </c>
      <c r="M22">
        <f>_xlfn.XLOOKUP(Table6[[#This Row],[Nest]],Model_draft_inc_temp_data!B:B,Model_draft_inc_temp_data!L:L, "No Match")</f>
        <v>15</v>
      </c>
      <c r="N22" s="16">
        <v>2.9027777777777781E-2</v>
      </c>
      <c r="O22">
        <f>Table6[[#This Row],[Total_on_bout_duration]]*86400</f>
        <v>2508.0000000000005</v>
      </c>
      <c r="P22" s="16">
        <v>5.2280092592592593E-2</v>
      </c>
      <c r="Q22">
        <v>66</v>
      </c>
      <c r="R22" s="22">
        <f>Table6[[#This Row],[Total_obs_length_minutes]]*60</f>
        <v>3960</v>
      </c>
      <c r="S22">
        <f>Table6[[#This Row],[Total_on_bout_duration_seconds]]/Table6[[#This Row],[Total_obs_length_seconds]]</f>
        <v>0.63333333333333341</v>
      </c>
    </row>
    <row r="23" spans="1:19" x14ac:dyDescent="0.35">
      <c r="A23" t="s">
        <v>9</v>
      </c>
      <c r="B23" t="s">
        <v>15</v>
      </c>
      <c r="C23" t="str">
        <f>_xlfn.XLOOKUP(Table6[[#This Row],[Nest]],Model_draft_inc_temp_data!B:B,Model_draft_inc_temp_data!C:C, "No Match")</f>
        <v>CP13444</v>
      </c>
      <c r="D23">
        <f>_xlfn.XLOOKUP(Table6[[#This Row],[Female_ID]],Model_draft_inc_temp_data!C:C,Model_draft_inc_temp_data!E:E,"No Match")</f>
        <v>1</v>
      </c>
      <c r="E23">
        <f>_xlfn.XLOOKUP(Table6[[#This Row],[Nest]],Model_draft_inc_temp_data!B:B,Model_draft_inc_temp_data!H:H, "No Match")</f>
        <v>4</v>
      </c>
      <c r="F23">
        <f>_xlfn.XLOOKUP(Table6[[#This Row],[Nest]],Model_draft_inc_temp_data!B:B,Model_draft_inc_temp_data!J:J, "No Match")</f>
        <v>0</v>
      </c>
      <c r="G23">
        <v>13</v>
      </c>
      <c r="H23" s="11" cm="1">
        <f t="array" ref="H23">_xlfn.XLOOKUP(Table6[[#This Row],[Nest]]&amp;Table6[[#This Row],[Obs_date]],Model_draft_inc_temp_data!B:B&amp;Model_draft_inc_temp_data!M:M,Model_draft_inc_temp_data!F:F, "No Match")</f>
        <v>43770</v>
      </c>
      <c r="I23" s="11" cm="1">
        <f t="array" ref="I23">_xlfn.XLOOKUP(Table6[[#This Row],[Nest]]&amp;Table6[[#This Row],[Obs_date]], Model_draft_inc_temp_data!B:B&amp;Model_draft_inc_temp_data!M:M, Model_draft_inc_temp_data!I:I, "No Match")</f>
        <v>43773</v>
      </c>
      <c r="J23" s="11" cm="1">
        <f t="array" ref="J23">_xlfn.XLOOKUP(Table6[[#This Row],[Nest]]&amp;Table6[[#This Row],[Day_of_inc]],Model_draft_inc_temp_data!B:B&amp;Model_draft_inc_temp_data!O:O,Model_draft_inc_temp_data!M:M, "No Match")</f>
        <v>43786</v>
      </c>
      <c r="K23" s="16" cm="1">
        <f t="array" ref="K23">_xlfn.XLOOKUP(Table6[[#This Row],[Nest]]&amp;Table6[[#This Row],[Obs_date]],Sheet2!B:B&amp;Sheet2!E:E, Sheet2!F:F, "No Match")</f>
        <v>0.6962962962962963</v>
      </c>
      <c r="L23">
        <f>_xlfn.XLOOKUP(Table6[[#This Row],[Obs_date]],'19-20_niwa_temp_data'!B:B,'19-20_niwa_temp_data'!G:G, "No Match")</f>
        <v>15.768322675541617</v>
      </c>
      <c r="M23">
        <f>_xlfn.XLOOKUP(Table6[[#This Row],[Nest]],Model_draft_inc_temp_data!B:B,Model_draft_inc_temp_data!L:L, "No Match")</f>
        <v>15</v>
      </c>
      <c r="N23" s="16">
        <v>7.3356481481481481E-2</v>
      </c>
      <c r="O23">
        <f>Table6[[#This Row],[Total_on_bout_duration]]*86400</f>
        <v>6338</v>
      </c>
      <c r="P23" s="16">
        <v>1.5983796296296298E-2</v>
      </c>
      <c r="Q23">
        <v>58</v>
      </c>
      <c r="R23" s="22">
        <f>Table6[[#This Row],[Total_obs_length_minutes]]*60</f>
        <v>3480</v>
      </c>
      <c r="S23">
        <f>Table6[[#This Row],[Total_on_bout_duration_seconds]]/Table6[[#This Row],[Total_obs_length_seconds]]</f>
        <v>1.821264367816092</v>
      </c>
    </row>
    <row r="24" spans="1:19" x14ac:dyDescent="0.35">
      <c r="A24" t="s">
        <v>9</v>
      </c>
      <c r="B24" t="s">
        <v>32</v>
      </c>
      <c r="C24" t="str">
        <f>_xlfn.XLOOKUP(Table6[[#This Row],[Nest]],Model_draft_inc_temp_data!B:B,Model_draft_inc_temp_data!C:C, "No Match")</f>
        <v>CP13502</v>
      </c>
      <c r="D24">
        <f>_xlfn.XLOOKUP(Table6[[#This Row],[Female_ID]],Model_draft_inc_temp_data!C:C,Model_draft_inc_temp_data!E:E,"No Match")</f>
        <v>1</v>
      </c>
      <c r="E24">
        <f>_xlfn.XLOOKUP(Table6[[#This Row],[Nest]],Model_draft_inc_temp_data!B:B,Model_draft_inc_temp_data!H:H, "No Match")</f>
        <v>4</v>
      </c>
      <c r="F24">
        <f>_xlfn.XLOOKUP(Table6[[#This Row],[Nest]],Model_draft_inc_temp_data!B:B,Model_draft_inc_temp_data!J:J, "No Match")</f>
        <v>0</v>
      </c>
      <c r="G24">
        <v>1</v>
      </c>
      <c r="H24" s="11" cm="1">
        <f t="array" ref="H24">_xlfn.XLOOKUP(Table6[[#This Row],[Nest]]&amp;Table6[[#This Row],[Obs_date]],Model_draft_inc_temp_data!B:B&amp;Model_draft_inc_temp_data!M:M,Model_draft_inc_temp_data!F:F, "No Match")</f>
        <v>43777</v>
      </c>
      <c r="I24" s="11" cm="1">
        <f t="array" ref="I24">_xlfn.XLOOKUP(Table6[[#This Row],[Nest]]&amp;Table6[[#This Row],[Obs_date]], Model_draft_inc_temp_data!B:B&amp;Model_draft_inc_temp_data!M:M, Model_draft_inc_temp_data!I:I, "No Match")</f>
        <v>43780</v>
      </c>
      <c r="J24" s="11" cm="1">
        <f t="array" ref="J24">_xlfn.XLOOKUP(Table6[[#This Row],[Nest]]&amp;Table6[[#This Row],[Day_of_inc]],Model_draft_inc_temp_data!B:B&amp;Model_draft_inc_temp_data!O:O,Model_draft_inc_temp_data!M:M, "No Match")</f>
        <v>43781</v>
      </c>
      <c r="K24" s="16" cm="1">
        <f t="array" ref="K24">_xlfn.XLOOKUP(Table6[[#This Row],[Nest]]&amp;Table6[[#This Row],[Obs_date]],Sheet2!B:B&amp;Sheet2!E:E, Sheet2!F:F, "No Match")</f>
        <v>0.54653935185185187</v>
      </c>
      <c r="L24">
        <f>_xlfn.XLOOKUP(Table6[[#This Row],[Obs_date]],'19-20_niwa_temp_data'!B:B,'19-20_niwa_temp_data'!G:G, "No Match")</f>
        <v>14.342245291445828</v>
      </c>
      <c r="M24">
        <f>_xlfn.XLOOKUP(Table6[[#This Row],[Nest]],Model_draft_inc_temp_data!B:B,Model_draft_inc_temp_data!L:L, "No Match")</f>
        <v>15</v>
      </c>
      <c r="N24" s="16">
        <v>4.8148148148148152E-3</v>
      </c>
      <c r="O24">
        <f>Table6[[#This Row],[Total_on_bout_duration]]*86400</f>
        <v>416.00000000000006</v>
      </c>
      <c r="P24" s="16">
        <v>8.773148148148148E-3</v>
      </c>
      <c r="Q24">
        <v>64</v>
      </c>
      <c r="R24" s="22">
        <f>Table6[[#This Row],[Total_obs_length_minutes]]*60</f>
        <v>3840</v>
      </c>
      <c r="S24">
        <f>Table6[[#This Row],[Total_on_bout_duration_seconds]]/Table6[[#This Row],[Total_obs_length_seconds]]</f>
        <v>0.10833333333333335</v>
      </c>
    </row>
    <row r="25" spans="1:19" x14ac:dyDescent="0.35">
      <c r="A25" t="s">
        <v>9</v>
      </c>
      <c r="B25" t="s">
        <v>32</v>
      </c>
      <c r="C25" t="str">
        <f>_xlfn.XLOOKUP(Table6[[#This Row],[Nest]],Model_draft_inc_temp_data!B:B,Model_draft_inc_temp_data!C:C, "No Match")</f>
        <v>CP13502</v>
      </c>
      <c r="D25">
        <f>_xlfn.XLOOKUP(Table6[[#This Row],[Female_ID]],Model_draft_inc_temp_data!C:C,Model_draft_inc_temp_data!E:E,"No Match")</f>
        <v>1</v>
      </c>
      <c r="E25">
        <f>_xlfn.XLOOKUP(Table6[[#This Row],[Nest]],Model_draft_inc_temp_data!B:B,Model_draft_inc_temp_data!H:H, "No Match")</f>
        <v>4</v>
      </c>
      <c r="F25">
        <f>_xlfn.XLOOKUP(Table6[[#This Row],[Nest]],Model_draft_inc_temp_data!B:B,Model_draft_inc_temp_data!J:J, "No Match")</f>
        <v>0</v>
      </c>
      <c r="G25">
        <v>7</v>
      </c>
      <c r="H25" s="11" cm="1">
        <f t="array" ref="H25">_xlfn.XLOOKUP(Table6[[#This Row],[Nest]]&amp;Table6[[#This Row],[Obs_date]],Model_draft_inc_temp_data!B:B&amp;Model_draft_inc_temp_data!M:M,Model_draft_inc_temp_data!F:F, "No Match")</f>
        <v>43777</v>
      </c>
      <c r="I25" s="11" cm="1">
        <f t="array" ref="I25">_xlfn.XLOOKUP(Table6[[#This Row],[Nest]]&amp;Table6[[#This Row],[Obs_date]], Model_draft_inc_temp_data!B:B&amp;Model_draft_inc_temp_data!M:M, Model_draft_inc_temp_data!I:I, "No Match")</f>
        <v>43780</v>
      </c>
      <c r="J25" s="11" cm="1">
        <f t="array" ref="J25">_xlfn.XLOOKUP(Table6[[#This Row],[Nest]]&amp;Table6[[#This Row],[Day_of_inc]],Model_draft_inc_temp_data!B:B&amp;Model_draft_inc_temp_data!O:O,Model_draft_inc_temp_data!M:M, "No Match")</f>
        <v>43787</v>
      </c>
      <c r="K25" s="16" cm="1">
        <f t="array" ref="K25">_xlfn.XLOOKUP(Table6[[#This Row],[Nest]]&amp;Table6[[#This Row],[Obs_date]],Sheet2!B:B&amp;Sheet2!E:E, Sheet2!F:F, "No Match")</f>
        <v>0.55503472222222228</v>
      </c>
      <c r="L25">
        <f>_xlfn.XLOOKUP(Table6[[#This Row],[Obs_date]],'19-20_niwa_temp_data'!B:B,'19-20_niwa_temp_data'!G:G, "No Match")</f>
        <v>16.814279645586961</v>
      </c>
      <c r="M25">
        <f>_xlfn.XLOOKUP(Table6[[#This Row],[Nest]],Model_draft_inc_temp_data!B:B,Model_draft_inc_temp_data!L:L, "No Match")</f>
        <v>15</v>
      </c>
      <c r="N25" s="16">
        <v>1.0393518518518519E-2</v>
      </c>
      <c r="O25">
        <f>Table6[[#This Row],[Total_on_bout_duration]]*86400</f>
        <v>898</v>
      </c>
      <c r="P25" s="16">
        <v>5.5671296296296293E-3</v>
      </c>
      <c r="Q25">
        <v>55</v>
      </c>
      <c r="R25" s="22">
        <f>Table6[[#This Row],[Total_obs_length_minutes]]*60</f>
        <v>3300</v>
      </c>
      <c r="S25">
        <f>Table6[[#This Row],[Total_on_bout_duration_seconds]]/Table6[[#This Row],[Total_obs_length_seconds]]</f>
        <v>0.2721212121212121</v>
      </c>
    </row>
    <row r="26" spans="1:19" x14ac:dyDescent="0.35">
      <c r="A26" t="s">
        <v>9</v>
      </c>
      <c r="B26" t="s">
        <v>32</v>
      </c>
      <c r="C26" t="str">
        <f>_xlfn.XLOOKUP(Table6[[#This Row],[Nest]],Model_draft_inc_temp_data!B:B,Model_draft_inc_temp_data!C:C, "No Match")</f>
        <v>CP13502</v>
      </c>
      <c r="D26">
        <f>_xlfn.XLOOKUP(Table6[[#This Row],[Female_ID]],Model_draft_inc_temp_data!C:C,Model_draft_inc_temp_data!E:E,"No Match")</f>
        <v>1</v>
      </c>
      <c r="E26">
        <f>_xlfn.XLOOKUP(Table6[[#This Row],[Nest]],Model_draft_inc_temp_data!B:B,Model_draft_inc_temp_data!H:H, "No Match")</f>
        <v>4</v>
      </c>
      <c r="F26">
        <f>_xlfn.XLOOKUP(Table6[[#This Row],[Nest]],Model_draft_inc_temp_data!B:B,Model_draft_inc_temp_data!J:J, "No Match")</f>
        <v>0</v>
      </c>
      <c r="G26">
        <v>13</v>
      </c>
      <c r="H26" s="11" cm="1">
        <f t="array" ref="H26">_xlfn.XLOOKUP(Table6[[#This Row],[Nest]]&amp;Table6[[#This Row],[Obs_date]],Model_draft_inc_temp_data!B:B&amp;Model_draft_inc_temp_data!M:M,Model_draft_inc_temp_data!F:F, "No Match")</f>
        <v>43777</v>
      </c>
      <c r="I26" s="11" cm="1">
        <f t="array" ref="I26">_xlfn.XLOOKUP(Table6[[#This Row],[Nest]]&amp;Table6[[#This Row],[Obs_date]], Model_draft_inc_temp_data!B:B&amp;Model_draft_inc_temp_data!M:M, Model_draft_inc_temp_data!I:I, "No Match")</f>
        <v>43780</v>
      </c>
      <c r="J26" s="11" cm="1">
        <f t="array" ref="J26">_xlfn.XLOOKUP(Table6[[#This Row],[Nest]]&amp;Table6[[#This Row],[Day_of_inc]],Model_draft_inc_temp_data!B:B&amp;Model_draft_inc_temp_data!O:O,Model_draft_inc_temp_data!M:M, "No Match")</f>
        <v>43793</v>
      </c>
      <c r="K26" s="16" cm="1">
        <f t="array" ref="K26">_xlfn.XLOOKUP(Table6[[#This Row],[Nest]]&amp;Table6[[#This Row],[Obs_date]],Sheet2!B:B&amp;Sheet2!E:E, Sheet2!F:F, "No Match")</f>
        <v>0.43171296296296297</v>
      </c>
      <c r="L26">
        <f>_xlfn.XLOOKUP(Table6[[#This Row],[Obs_date]],'19-20_niwa_temp_data'!B:B,'19-20_niwa_temp_data'!G:G, "No Match")</f>
        <v>16.778557744931476</v>
      </c>
      <c r="M26">
        <f>_xlfn.XLOOKUP(Table6[[#This Row],[Nest]],Model_draft_inc_temp_data!B:B,Model_draft_inc_temp_data!L:L, "No Match")</f>
        <v>15</v>
      </c>
      <c r="N26" s="16">
        <v>8.4490740740740741E-3</v>
      </c>
      <c r="O26">
        <f>Table6[[#This Row],[Total_on_bout_duration]]*86400</f>
        <v>730</v>
      </c>
      <c r="P26" s="16">
        <v>1.3796296296296296E-2</v>
      </c>
      <c r="Q26">
        <v>59</v>
      </c>
      <c r="R26" s="22">
        <f>Table6[[#This Row],[Total_obs_length_minutes]]*60</f>
        <v>3540</v>
      </c>
      <c r="S26">
        <f>Table6[[#This Row],[Total_on_bout_duration_seconds]]/Table6[[#This Row],[Total_obs_length_seconds]]</f>
        <v>0.20621468926553671</v>
      </c>
    </row>
    <row r="27" spans="1:19" x14ac:dyDescent="0.35">
      <c r="A27" t="s">
        <v>9</v>
      </c>
      <c r="B27" t="s">
        <v>31</v>
      </c>
      <c r="C27" t="str">
        <f>_xlfn.XLOOKUP(Table6[[#This Row],[Nest]],Model_draft_inc_temp_data!B:B,Model_draft_inc_temp_data!C:C, "No Match")</f>
        <v>CP11840</v>
      </c>
      <c r="D27">
        <f>_xlfn.XLOOKUP(Table6[[#This Row],[Female_ID]],Model_draft_inc_temp_data!C:C,Model_draft_inc_temp_data!E:E,"No Match")</f>
        <v>3</v>
      </c>
      <c r="E27">
        <f>_xlfn.XLOOKUP(Table6[[#This Row],[Nest]],Model_draft_inc_temp_data!B:B,Model_draft_inc_temp_data!H:H, "No Match")</f>
        <v>3</v>
      </c>
      <c r="F27">
        <f>_xlfn.XLOOKUP(Table6[[#This Row],[Nest]],Model_draft_inc_temp_data!B:B,Model_draft_inc_temp_data!J:J, "No Match")</f>
        <v>0</v>
      </c>
      <c r="G27">
        <v>2</v>
      </c>
      <c r="H27" s="11" cm="1">
        <f t="array" ref="H27">_xlfn.XLOOKUP(Table6[[#This Row],[Nest]]&amp;Table6[[#This Row],[Obs_date]],Model_draft_inc_temp_data!B:B&amp;Model_draft_inc_temp_data!M:M,Model_draft_inc_temp_data!F:F, "No Match")</f>
        <v>43776</v>
      </c>
      <c r="I27" s="11" cm="1">
        <f t="array" ref="I27">_xlfn.XLOOKUP(Table6[[#This Row],[Nest]]&amp;Table6[[#This Row],[Obs_date]], Model_draft_inc_temp_data!B:B&amp;Model_draft_inc_temp_data!M:M, Model_draft_inc_temp_data!I:I, "No Match")</f>
        <v>43779</v>
      </c>
      <c r="J27" s="11" cm="1">
        <f t="array" ref="J27">_xlfn.XLOOKUP(Table6[[#This Row],[Nest]]&amp;Table6[[#This Row],[Day_of_inc]],Model_draft_inc_temp_data!B:B&amp;Model_draft_inc_temp_data!O:O,Model_draft_inc_temp_data!M:M, "No Match")</f>
        <v>43781</v>
      </c>
      <c r="K27" s="16" cm="1">
        <f t="array" ref="K27">_xlfn.XLOOKUP(Table6[[#This Row],[Nest]]&amp;Table6[[#This Row],[Obs_date]],Sheet2!B:B&amp;Sheet2!E:E, Sheet2!F:F, "No Match")</f>
        <v>0.49694444444444447</v>
      </c>
      <c r="L27">
        <f>_xlfn.XLOOKUP(Table6[[#This Row],[Obs_date]],'19-20_niwa_temp_data'!B:B,'19-20_niwa_temp_data'!G:G, "No Match")</f>
        <v>14.342245291445828</v>
      </c>
      <c r="M27">
        <f>_xlfn.XLOOKUP(Table6[[#This Row],[Nest]],Model_draft_inc_temp_data!B:B,Model_draft_inc_temp_data!L:L, "No Match")</f>
        <v>16</v>
      </c>
      <c r="N27" s="16">
        <v>1.7141203703703704E-2</v>
      </c>
      <c r="O27">
        <f>Table6[[#This Row],[Total_on_bout_duration]]*86400</f>
        <v>1481</v>
      </c>
      <c r="P27" s="16">
        <v>7.7777777777777776E-3</v>
      </c>
      <c r="Q27">
        <v>45.383333329999999</v>
      </c>
      <c r="R27" s="22">
        <f>Table6[[#This Row],[Total_obs_length_minutes]]*60</f>
        <v>2722.9999997999998</v>
      </c>
      <c r="S27">
        <f>Table6[[#This Row],[Total_on_bout_duration_seconds]]/Table6[[#This Row],[Total_obs_length_seconds]]</f>
        <v>0.5438854205320518</v>
      </c>
    </row>
    <row r="28" spans="1:19" x14ac:dyDescent="0.35">
      <c r="A28" t="s">
        <v>9</v>
      </c>
      <c r="B28" t="s">
        <v>31</v>
      </c>
      <c r="C28" t="str">
        <f>_xlfn.XLOOKUP(Table6[[#This Row],[Nest]],Model_draft_inc_temp_data!B:B,Model_draft_inc_temp_data!C:C, "No Match")</f>
        <v>CP11840</v>
      </c>
      <c r="D28">
        <f>_xlfn.XLOOKUP(Table6[[#This Row],[Female_ID]],Model_draft_inc_temp_data!C:C,Model_draft_inc_temp_data!E:E,"No Match")</f>
        <v>3</v>
      </c>
      <c r="E28">
        <f>_xlfn.XLOOKUP(Table6[[#This Row],[Nest]],Model_draft_inc_temp_data!B:B,Model_draft_inc_temp_data!H:H, "No Match")</f>
        <v>3</v>
      </c>
      <c r="F28">
        <f>_xlfn.XLOOKUP(Table6[[#This Row],[Nest]],Model_draft_inc_temp_data!B:B,Model_draft_inc_temp_data!J:J, "No Match")</f>
        <v>0</v>
      </c>
      <c r="G28">
        <v>13</v>
      </c>
      <c r="H28" s="11" cm="1">
        <f t="array" ref="H28">_xlfn.XLOOKUP(Table6[[#This Row],[Nest]]&amp;Table6[[#This Row],[Obs_date]],Model_draft_inc_temp_data!B:B&amp;Model_draft_inc_temp_data!M:M,Model_draft_inc_temp_data!F:F, "No Match")</f>
        <v>43776</v>
      </c>
      <c r="I28" s="11" cm="1">
        <f t="array" ref="I28">_xlfn.XLOOKUP(Table6[[#This Row],[Nest]]&amp;Table6[[#This Row],[Obs_date]], Model_draft_inc_temp_data!B:B&amp;Model_draft_inc_temp_data!M:M, Model_draft_inc_temp_data!I:I, "No Match")</f>
        <v>43779</v>
      </c>
      <c r="J28" s="11" cm="1">
        <f t="array" ref="J28">_xlfn.XLOOKUP(Table6[[#This Row],[Nest]]&amp;Table6[[#This Row],[Day_of_inc]],Model_draft_inc_temp_data!B:B&amp;Model_draft_inc_temp_data!O:O,Model_draft_inc_temp_data!M:M, "No Match")</f>
        <v>43792</v>
      </c>
      <c r="K28" s="16" cm="1">
        <f t="array" ref="K28">_xlfn.XLOOKUP(Table6[[#This Row],[Nest]]&amp;Table6[[#This Row],[Obs_date]],Sheet2!B:B&amp;Sheet2!E:E, Sheet2!F:F, "No Match")</f>
        <v>0.55760416666666668</v>
      </c>
      <c r="L28">
        <f>_xlfn.XLOOKUP(Table6[[#This Row],[Obs_date]],'19-20_niwa_temp_data'!B:B,'19-20_niwa_temp_data'!G:G, "No Match")</f>
        <v>15.553777676178864</v>
      </c>
      <c r="M28">
        <f>_xlfn.XLOOKUP(Table6[[#This Row],[Nest]],Model_draft_inc_temp_data!B:B,Model_draft_inc_temp_data!L:L, "No Match")</f>
        <v>16</v>
      </c>
      <c r="N28" s="16">
        <v>5.6249999999999998E-3</v>
      </c>
      <c r="O28">
        <f>Table6[[#This Row],[Total_on_bout_duration]]*86400</f>
        <v>486</v>
      </c>
      <c r="P28" s="16">
        <v>5.6597222222222222E-3</v>
      </c>
      <c r="Q28">
        <v>73</v>
      </c>
      <c r="R28" s="22">
        <f>Table6[[#This Row],[Total_obs_length_minutes]]*60</f>
        <v>4380</v>
      </c>
      <c r="S28">
        <f>Table6[[#This Row],[Total_on_bout_duration_seconds]]/Table6[[#This Row],[Total_obs_length_seconds]]</f>
        <v>0.11095890410958904</v>
      </c>
    </row>
    <row r="29" spans="1:19" x14ac:dyDescent="0.35">
      <c r="A29" t="s">
        <v>9</v>
      </c>
      <c r="B29" t="s">
        <v>71</v>
      </c>
      <c r="C29" t="str">
        <f>_xlfn.XLOOKUP(Table6[[#This Row],[Nest]],Model_draft_inc_temp_data!B:B,Model_draft_inc_temp_data!C:C, "No Match")</f>
        <v>CP12933</v>
      </c>
      <c r="D29">
        <f>_xlfn.XLOOKUP(Table6[[#This Row],[Female_ID]],Model_draft_inc_temp_data!C:C,Model_draft_inc_temp_data!E:E,"No Match")</f>
        <v>2</v>
      </c>
      <c r="E29">
        <f>_xlfn.XLOOKUP(Table6[[#This Row],[Nest]],Model_draft_inc_temp_data!B:B,Model_draft_inc_temp_data!H:H, "No Match")</f>
        <v>4</v>
      </c>
      <c r="F29">
        <f>_xlfn.XLOOKUP(Table6[[#This Row],[Nest]],Model_draft_inc_temp_data!B:B,Model_draft_inc_temp_data!J:J, "No Match")</f>
        <v>0</v>
      </c>
      <c r="G29">
        <v>1</v>
      </c>
      <c r="H29" s="11" cm="1">
        <f t="array" ref="H29">_xlfn.XLOOKUP(Table6[[#This Row],[Nest]]&amp;Table6[[#This Row],[Obs_date]],Model_draft_inc_temp_data!B:B&amp;Model_draft_inc_temp_data!M:M,Model_draft_inc_temp_data!F:F, "No Match")</f>
        <v>43802</v>
      </c>
      <c r="I29" s="11" cm="1">
        <f t="array" ref="I29">_xlfn.XLOOKUP(Table6[[#This Row],[Nest]]&amp;Table6[[#This Row],[Obs_date]], Model_draft_inc_temp_data!B:B&amp;Model_draft_inc_temp_data!M:M, Model_draft_inc_temp_data!I:I, "No Match")</f>
        <v>43805</v>
      </c>
      <c r="J29" s="11" cm="1">
        <f t="array" ref="J29">_xlfn.XLOOKUP(Table6[[#This Row],[Nest]]&amp;Table6[[#This Row],[Day_of_inc]],Model_draft_inc_temp_data!B:B&amp;Model_draft_inc_temp_data!O:O,Model_draft_inc_temp_data!M:M, "No Match")</f>
        <v>43806</v>
      </c>
      <c r="K29" s="16" cm="1">
        <f t="array" ref="K29">_xlfn.XLOOKUP(Table6[[#This Row],[Nest]]&amp;Table6[[#This Row],[Obs_date]],Sheet2!B:B&amp;Sheet2!E:E, Sheet2!F:F, "No Match")</f>
        <v>0.56821759259259264</v>
      </c>
      <c r="L29">
        <f>_xlfn.XLOOKUP(Table6[[#This Row],[Obs_date]],'19-20_niwa_temp_data'!B:B,'19-20_niwa_temp_data'!G:G, "No Match")</f>
        <v>18.187358246870268</v>
      </c>
      <c r="M29">
        <f>_xlfn.XLOOKUP(Table6[[#This Row],[Nest]],Model_draft_inc_temp_data!B:B,Model_draft_inc_temp_data!L:L, "No Match")</f>
        <v>14</v>
      </c>
      <c r="N29" s="16">
        <v>1.2083333333333333E-2</v>
      </c>
      <c r="O29">
        <f>Table6[[#This Row],[Total_on_bout_duration]]*86400</f>
        <v>1044</v>
      </c>
      <c r="P29" s="16">
        <v>3.0300925925925926E-2</v>
      </c>
      <c r="Q29">
        <v>62</v>
      </c>
      <c r="R29" s="22">
        <f>Table6[[#This Row],[Total_obs_length_minutes]]*60</f>
        <v>3720</v>
      </c>
      <c r="S29">
        <f>Table6[[#This Row],[Total_on_bout_duration_seconds]]/Table6[[#This Row],[Total_obs_length_seconds]]</f>
        <v>0.28064516129032258</v>
      </c>
    </row>
    <row r="30" spans="1:19" x14ac:dyDescent="0.35">
      <c r="A30" t="s">
        <v>9</v>
      </c>
      <c r="B30" t="s">
        <v>57</v>
      </c>
      <c r="C30" t="str">
        <f>_xlfn.XLOOKUP(Table6[[#This Row],[Nest]],Model_draft_inc_temp_data!B:B,Model_draft_inc_temp_data!C:C, "No Match")</f>
        <v>CP13487</v>
      </c>
      <c r="D30">
        <f>_xlfn.XLOOKUP(Table6[[#This Row],[Female_ID]],Model_draft_inc_temp_data!C:C,Model_draft_inc_temp_data!E:E,"No Match")</f>
        <v>1</v>
      </c>
      <c r="E30">
        <f>_xlfn.XLOOKUP(Table6[[#This Row],[Nest]],Model_draft_inc_temp_data!B:B,Model_draft_inc_temp_data!H:H, "No Match")</f>
        <v>4</v>
      </c>
      <c r="F30">
        <f>_xlfn.XLOOKUP(Table6[[#This Row],[Nest]],Model_draft_inc_temp_data!B:B,Model_draft_inc_temp_data!J:J, "No Match")</f>
        <v>1</v>
      </c>
      <c r="G30">
        <v>1</v>
      </c>
      <c r="H30" s="11" cm="1">
        <f t="array" ref="H30">_xlfn.XLOOKUP(Table6[[#This Row],[Nest]]&amp;Table6[[#This Row],[Obs_date]],Model_draft_inc_temp_data!B:B&amp;Model_draft_inc_temp_data!M:M,Model_draft_inc_temp_data!F:F, "No Match")</f>
        <v>43791</v>
      </c>
      <c r="I30" s="11" cm="1">
        <f t="array" ref="I30">_xlfn.XLOOKUP(Table6[[#This Row],[Nest]]&amp;Table6[[#This Row],[Obs_date]], Model_draft_inc_temp_data!B:B&amp;Model_draft_inc_temp_data!M:M, Model_draft_inc_temp_data!I:I, "No Match")</f>
        <v>43795</v>
      </c>
      <c r="J30" s="11" cm="1">
        <f t="array" ref="J30">_xlfn.XLOOKUP(Table6[[#This Row],[Nest]]&amp;Table6[[#This Row],[Day_of_inc]],Model_draft_inc_temp_data!B:B&amp;Model_draft_inc_temp_data!O:O,Model_draft_inc_temp_data!M:M, "No Match")</f>
        <v>43796</v>
      </c>
      <c r="K30" s="16" cm="1">
        <f t="array" ref="K30">_xlfn.XLOOKUP(Table6[[#This Row],[Nest]]&amp;Table6[[#This Row],[Obs_date]],Sheet2!B:B&amp;Sheet2!E:E, Sheet2!F:F, "No Match")</f>
        <v>0.53070601851851851</v>
      </c>
      <c r="L30">
        <f>_xlfn.XLOOKUP(Table6[[#This Row],[Obs_date]],'19-20_niwa_temp_data'!B:B,'19-20_niwa_temp_data'!G:G, "No Match")</f>
        <v>17.287857010051884</v>
      </c>
      <c r="M30" t="str">
        <f>_xlfn.XLOOKUP(Table6[[#This Row],[Nest]],Model_draft_inc_temp_data!B:B,Model_draft_inc_temp_data!L:L, "No Match")</f>
        <v>N/A</v>
      </c>
      <c r="N30" s="16">
        <v>6.474537037037037E-2</v>
      </c>
      <c r="O30">
        <f>Table6[[#This Row],[Total_on_bout_duration]]*86400</f>
        <v>5594</v>
      </c>
      <c r="P30" s="16">
        <v>1.3888888888888888E-2</v>
      </c>
      <c r="Q30">
        <v>62</v>
      </c>
      <c r="R30" s="22">
        <f>Table6[[#This Row],[Total_obs_length_minutes]]*60</f>
        <v>3720</v>
      </c>
      <c r="S30">
        <f>Table6[[#This Row],[Total_on_bout_duration_seconds]]/Table6[[#This Row],[Total_obs_length_seconds]]</f>
        <v>1.503763440860215</v>
      </c>
    </row>
    <row r="31" spans="1:19" x14ac:dyDescent="0.35">
      <c r="A31" t="s">
        <v>9</v>
      </c>
      <c r="B31" t="s">
        <v>47</v>
      </c>
      <c r="C31" t="str">
        <f>_xlfn.XLOOKUP(Table6[[#This Row],[Nest]],Model_draft_inc_temp_data!B:B,Model_draft_inc_temp_data!C:C, "No Match")</f>
        <v>CP13419</v>
      </c>
      <c r="D31">
        <f>_xlfn.XLOOKUP(Table6[[#This Row],[Female_ID]],Model_draft_inc_temp_data!C:C,Model_draft_inc_temp_data!E:E,"No Match")</f>
        <v>1</v>
      </c>
      <c r="E31">
        <f>_xlfn.XLOOKUP(Table6[[#This Row],[Nest]],Model_draft_inc_temp_data!B:B,Model_draft_inc_temp_data!H:H, "No Match")</f>
        <v>3</v>
      </c>
      <c r="F31">
        <f>_xlfn.XLOOKUP(Table6[[#This Row],[Nest]],Model_draft_inc_temp_data!B:B,Model_draft_inc_temp_data!J:J, "No Match")</f>
        <v>0</v>
      </c>
      <c r="G31">
        <v>13</v>
      </c>
      <c r="H31" s="11" cm="1">
        <f t="array" ref="H31">_xlfn.XLOOKUP(Table6[[#This Row],[Nest]]&amp;Table6[[#This Row],[Obs_date]],Model_draft_inc_temp_data!B:B&amp;Model_draft_inc_temp_data!M:M,Model_draft_inc_temp_data!F:F, "No Match")</f>
        <v>43781</v>
      </c>
      <c r="I31" s="11" cm="1">
        <f t="array" ref="I31">_xlfn.XLOOKUP(Table6[[#This Row],[Nest]]&amp;Table6[[#This Row],[Obs_date]], Model_draft_inc_temp_data!B:B&amp;Model_draft_inc_temp_data!M:M, Model_draft_inc_temp_data!I:I, "No Match")</f>
        <v>43783</v>
      </c>
      <c r="J31" s="11" cm="1">
        <f t="array" ref="J31">_xlfn.XLOOKUP(Table6[[#This Row],[Nest]]&amp;Table6[[#This Row],[Day_of_inc]],Model_draft_inc_temp_data!B:B&amp;Model_draft_inc_temp_data!O:O,Model_draft_inc_temp_data!M:M, "No Match")</f>
        <v>43796</v>
      </c>
      <c r="K31" s="16" cm="1">
        <f t="array" ref="K31">_xlfn.XLOOKUP(Table6[[#This Row],[Nest]]&amp;Table6[[#This Row],[Obs_date]],Sheet2!B:B&amp;Sheet2!E:E, Sheet2!F:F, "No Match")</f>
        <v>0.51710648148148153</v>
      </c>
      <c r="L31">
        <f>_xlfn.XLOOKUP(Table6[[#This Row],[Obs_date]],'19-20_niwa_temp_data'!B:B,'19-20_niwa_temp_data'!G:G, "No Match")</f>
        <v>17.287857010051884</v>
      </c>
      <c r="M31">
        <f>_xlfn.XLOOKUP(Table6[[#This Row],[Nest]],Model_draft_inc_temp_data!B:B,Model_draft_inc_temp_data!L:L, "No Match")</f>
        <v>14</v>
      </c>
      <c r="N31" s="16">
        <v>3.472222222222222E-3</v>
      </c>
      <c r="O31">
        <f>Table6[[#This Row],[Total_on_bout_duration]]*86400</f>
        <v>300</v>
      </c>
      <c r="P31" s="16">
        <v>0</v>
      </c>
      <c r="Q31">
        <v>22</v>
      </c>
      <c r="R31" s="22">
        <f>Table6[[#This Row],[Total_obs_length_minutes]]*60</f>
        <v>1320</v>
      </c>
      <c r="S31">
        <f>Table6[[#This Row],[Total_on_bout_duration_seconds]]/Table6[[#This Row],[Total_obs_length_seconds]]</f>
        <v>0.22727272727272727</v>
      </c>
    </row>
    <row r="32" spans="1:19" x14ac:dyDescent="0.35">
      <c r="A32" t="s">
        <v>9</v>
      </c>
      <c r="B32" t="s">
        <v>40</v>
      </c>
      <c r="C32" t="str">
        <f>_xlfn.XLOOKUP(Table6[[#This Row],[Nest]],Model_draft_inc_temp_data!B:B,Model_draft_inc_temp_data!C:C, "No Match")</f>
        <v>CP13498</v>
      </c>
      <c r="D32">
        <f>_xlfn.XLOOKUP(Table6[[#This Row],[Female_ID]],Model_draft_inc_temp_data!C:C,Model_draft_inc_temp_data!E:E,"No Match")</f>
        <v>1</v>
      </c>
      <c r="E32">
        <f>_xlfn.XLOOKUP(Table6[[#This Row],[Nest]],Model_draft_inc_temp_data!B:B,Model_draft_inc_temp_data!H:H, "No Match")</f>
        <v>3</v>
      </c>
      <c r="F32">
        <f>_xlfn.XLOOKUP(Table6[[#This Row],[Nest]],Model_draft_inc_temp_data!B:B,Model_draft_inc_temp_data!J:J, "No Match")</f>
        <v>0</v>
      </c>
      <c r="G32">
        <v>13</v>
      </c>
      <c r="H32" s="11" cm="1">
        <f t="array" ref="H32">_xlfn.XLOOKUP(Table6[[#This Row],[Nest]]&amp;Table6[[#This Row],[Obs_date]],Model_draft_inc_temp_data!B:B&amp;Model_draft_inc_temp_data!M:M,Model_draft_inc_temp_data!F:F, "No Match")</f>
        <v>43779</v>
      </c>
      <c r="I32" s="11" cm="1">
        <f t="array" ref="I32">_xlfn.XLOOKUP(Table6[[#This Row],[Nest]]&amp;Table6[[#This Row],[Obs_date]], Model_draft_inc_temp_data!B:B&amp;Model_draft_inc_temp_data!M:M, Model_draft_inc_temp_data!I:I, "No Match")</f>
        <v>43781</v>
      </c>
      <c r="J32" s="11" cm="1">
        <f t="array" ref="J32">_xlfn.XLOOKUP(Table6[[#This Row],[Nest]]&amp;Table6[[#This Row],[Day_of_inc]],Model_draft_inc_temp_data!B:B&amp;Model_draft_inc_temp_data!O:O,Model_draft_inc_temp_data!M:M, "No Match")</f>
        <v>43794</v>
      </c>
      <c r="K32" s="16" cm="1">
        <f t="array" ref="K32">_xlfn.XLOOKUP(Table6[[#This Row],[Nest]]&amp;Table6[[#This Row],[Obs_date]],Sheet2!B:B&amp;Sheet2!E:E, Sheet2!F:F, "No Match")</f>
        <v>0.42222222222222222</v>
      </c>
      <c r="L32">
        <f>_xlfn.XLOOKUP(Table6[[#This Row],[Obs_date]],'19-20_niwa_temp_data'!B:B,'19-20_niwa_temp_data'!G:G, "No Match")</f>
        <v>16.725429740368405</v>
      </c>
      <c r="M32">
        <f>_xlfn.XLOOKUP(Table6[[#This Row],[Nest]],Model_draft_inc_temp_data!B:B,Model_draft_inc_temp_data!L:L, "No Match")</f>
        <v>15</v>
      </c>
      <c r="N32" s="16">
        <v>4.2013888888888891E-3</v>
      </c>
      <c r="O32">
        <f>Table6[[#This Row],[Total_on_bout_duration]]*86400</f>
        <v>363</v>
      </c>
      <c r="P32" s="16">
        <v>7.1759259259259259E-3</v>
      </c>
      <c r="Q32">
        <v>62</v>
      </c>
      <c r="R32" s="22">
        <f>Table6[[#This Row],[Total_obs_length_minutes]]*60</f>
        <v>3720</v>
      </c>
      <c r="S32">
        <f>Table6[[#This Row],[Total_on_bout_duration_seconds]]/Table6[[#This Row],[Total_obs_length_seconds]]</f>
        <v>9.7580645161290322E-2</v>
      </c>
    </row>
    <row r="33" spans="1:19" x14ac:dyDescent="0.35">
      <c r="A33" t="s">
        <v>9</v>
      </c>
      <c r="B33" t="s">
        <v>73</v>
      </c>
      <c r="C33" t="str">
        <f>_xlfn.XLOOKUP(Table6[[#This Row],[Nest]],Model_draft_inc_temp_data!B:B,Model_draft_inc_temp_data!C:C, "No Match")</f>
        <v>CP13068</v>
      </c>
      <c r="D33">
        <f>_xlfn.XLOOKUP(Table6[[#This Row],[Female_ID]],Model_draft_inc_temp_data!C:C,Model_draft_inc_temp_data!E:E,"No Match")</f>
        <v>1</v>
      </c>
      <c r="E33">
        <f>_xlfn.XLOOKUP(Table6[[#This Row],[Nest]],Model_draft_inc_temp_data!B:B,Model_draft_inc_temp_data!H:H, "No Match")</f>
        <v>4</v>
      </c>
      <c r="F33">
        <f>_xlfn.XLOOKUP(Table6[[#This Row],[Nest]],Model_draft_inc_temp_data!B:B,Model_draft_inc_temp_data!J:J, "No Match")</f>
        <v>0</v>
      </c>
      <c r="G33">
        <v>1</v>
      </c>
      <c r="H33" s="11" cm="1">
        <f t="array" ref="H33">_xlfn.XLOOKUP(Table6[[#This Row],[Nest]]&amp;Table6[[#This Row],[Obs_date]],Model_draft_inc_temp_data!B:B&amp;Model_draft_inc_temp_data!M:M,Model_draft_inc_temp_data!F:F, "No Match")</f>
        <v>43804</v>
      </c>
      <c r="I33" s="11" cm="1">
        <f t="array" ref="I33">_xlfn.XLOOKUP(Table6[[#This Row],[Nest]]&amp;Table6[[#This Row],[Obs_date]], Model_draft_inc_temp_data!B:B&amp;Model_draft_inc_temp_data!M:M, Model_draft_inc_temp_data!I:I, "No Match")</f>
        <v>43807</v>
      </c>
      <c r="J33" s="11" cm="1">
        <f t="array" ref="J33">_xlfn.XLOOKUP(Table6[[#This Row],[Nest]]&amp;Table6[[#This Row],[Day_of_inc]],Model_draft_inc_temp_data!B:B&amp;Model_draft_inc_temp_data!O:O,Model_draft_inc_temp_data!M:M, "No Match")</f>
        <v>43808</v>
      </c>
      <c r="K33" s="16" cm="1">
        <f t="array" ref="K33">_xlfn.XLOOKUP(Table6[[#This Row],[Nest]]&amp;Table6[[#This Row],[Obs_date]],Sheet2!B:B&amp;Sheet2!E:E, Sheet2!F:F, "No Match")</f>
        <v>0.593287037037037</v>
      </c>
      <c r="L33">
        <f>_xlfn.XLOOKUP(Table6[[#This Row],[Obs_date]],'19-20_niwa_temp_data'!B:B,'19-20_niwa_temp_data'!G:G, "No Match")</f>
        <v>17.951044537853498</v>
      </c>
      <c r="M33">
        <f>_xlfn.XLOOKUP(Table6[[#This Row],[Nest]],Model_draft_inc_temp_data!B:B,Model_draft_inc_temp_data!L:L, "No Match")</f>
        <v>15</v>
      </c>
      <c r="N33" s="16">
        <v>1.5092592592592593E-2</v>
      </c>
      <c r="O33">
        <f>Table6[[#This Row],[Total_on_bout_duration]]*86400</f>
        <v>1304</v>
      </c>
      <c r="P33" s="16">
        <v>5.7523148148148151E-3</v>
      </c>
      <c r="Q33">
        <v>60</v>
      </c>
      <c r="R33" s="22">
        <f>Table6[[#This Row],[Total_obs_length_minutes]]*60</f>
        <v>3600</v>
      </c>
      <c r="S33">
        <f>Table6[[#This Row],[Total_on_bout_duration_seconds]]/Table6[[#This Row],[Total_obs_length_seconds]]</f>
        <v>0.36222222222222222</v>
      </c>
    </row>
    <row r="34" spans="1:19" x14ac:dyDescent="0.35">
      <c r="A34" t="s">
        <v>9</v>
      </c>
      <c r="B34" t="s">
        <v>19</v>
      </c>
      <c r="C34" t="str">
        <f>_xlfn.XLOOKUP(Table6[[#This Row],[Nest]],Model_draft_inc_temp_data!B:B,Model_draft_inc_temp_data!C:C, "No Match")</f>
        <v>CP8110</v>
      </c>
      <c r="D34">
        <f>_xlfn.XLOOKUP(Table6[[#This Row],[Female_ID]],Model_draft_inc_temp_data!C:C,Model_draft_inc_temp_data!E:E,"No Match")</f>
        <v>5</v>
      </c>
      <c r="E34">
        <f>_xlfn.XLOOKUP(Table6[[#This Row],[Nest]],Model_draft_inc_temp_data!B:B,Model_draft_inc_temp_data!H:H, "No Match")</f>
        <v>4</v>
      </c>
      <c r="F34">
        <f>_xlfn.XLOOKUP(Table6[[#This Row],[Nest]],Model_draft_inc_temp_data!B:B,Model_draft_inc_temp_data!J:J, "No Match")</f>
        <v>0</v>
      </c>
      <c r="G34">
        <v>1</v>
      </c>
      <c r="H34" s="11" cm="1">
        <f t="array" ref="H34">_xlfn.XLOOKUP(Table6[[#This Row],[Nest]]&amp;Table6[[#This Row],[Obs_date]],Model_draft_inc_temp_data!B:B&amp;Model_draft_inc_temp_data!M:M,Model_draft_inc_temp_data!F:F, "No Match")</f>
        <v>43772</v>
      </c>
      <c r="I34" s="11" cm="1">
        <f t="array" ref="I34">_xlfn.XLOOKUP(Table6[[#This Row],[Nest]]&amp;Table6[[#This Row],[Obs_date]], Model_draft_inc_temp_data!B:B&amp;Model_draft_inc_temp_data!M:M, Model_draft_inc_temp_data!I:I, "No Match")</f>
        <v>43775</v>
      </c>
      <c r="J34" s="11" cm="1">
        <f t="array" ref="J34">_xlfn.XLOOKUP(Table6[[#This Row],[Nest]]&amp;Table6[[#This Row],[Day_of_inc]],Model_draft_inc_temp_data!B:B&amp;Model_draft_inc_temp_data!O:O,Model_draft_inc_temp_data!M:M, "No Match")</f>
        <v>43776</v>
      </c>
      <c r="K34" s="16" cm="1">
        <f t="array" ref="K34">_xlfn.XLOOKUP(Table6[[#This Row],[Nest]]&amp;Table6[[#This Row],[Obs_date]],Sheet2!B:B&amp;Sheet2!E:E, Sheet2!F:F, "No Match")</f>
        <v>0.50972222222222219</v>
      </c>
      <c r="L34">
        <f>_xlfn.XLOOKUP(Table6[[#This Row],[Obs_date]],'19-20_niwa_temp_data'!B:B,'19-20_niwa_temp_data'!G:G, "No Match")</f>
        <v>17.675972391922318</v>
      </c>
      <c r="M34">
        <f>_xlfn.XLOOKUP(Table6[[#This Row],[Nest]],Model_draft_inc_temp_data!B:B,Model_draft_inc_temp_data!L:L, "No Match")</f>
        <v>14</v>
      </c>
      <c r="N34" s="16">
        <v>2.5717592592592594E-2</v>
      </c>
      <c r="O34">
        <f>Table6[[#This Row],[Total_on_bout_duration]]*86400</f>
        <v>2222</v>
      </c>
      <c r="P34" s="16">
        <v>1.6284722222222221E-2</v>
      </c>
      <c r="Q34">
        <v>148.80000000000001</v>
      </c>
      <c r="R34" s="22">
        <f>Table6[[#This Row],[Total_obs_length_minutes]]*60</f>
        <v>8928</v>
      </c>
      <c r="S34">
        <f>Table6[[#This Row],[Total_on_bout_duration_seconds]]/Table6[[#This Row],[Total_obs_length_seconds]]</f>
        <v>0.2488799283154122</v>
      </c>
    </row>
    <row r="35" spans="1:19" x14ac:dyDescent="0.35">
      <c r="A35" t="s">
        <v>9</v>
      </c>
      <c r="B35" t="s">
        <v>19</v>
      </c>
      <c r="C35" t="str">
        <f>_xlfn.XLOOKUP(Table6[[#This Row],[Nest]],Model_draft_inc_temp_data!B:B,Model_draft_inc_temp_data!C:C, "No Match")</f>
        <v>CP8110</v>
      </c>
      <c r="D35">
        <f>_xlfn.XLOOKUP(Table6[[#This Row],[Female_ID]],Model_draft_inc_temp_data!C:C,Model_draft_inc_temp_data!E:E,"No Match")</f>
        <v>5</v>
      </c>
      <c r="E35">
        <f>_xlfn.XLOOKUP(Table6[[#This Row],[Nest]],Model_draft_inc_temp_data!B:B,Model_draft_inc_temp_data!H:H, "No Match")</f>
        <v>4</v>
      </c>
      <c r="F35">
        <f>_xlfn.XLOOKUP(Table6[[#This Row],[Nest]],Model_draft_inc_temp_data!B:B,Model_draft_inc_temp_data!J:J, "No Match")</f>
        <v>0</v>
      </c>
      <c r="G35">
        <v>7</v>
      </c>
      <c r="H35" s="11" cm="1">
        <f t="array" ref="H35">_xlfn.XLOOKUP(Table6[[#This Row],[Nest]]&amp;Table6[[#This Row],[Obs_date]],Model_draft_inc_temp_data!B:B&amp;Model_draft_inc_temp_data!M:M,Model_draft_inc_temp_data!F:F, "No Match")</f>
        <v>43772</v>
      </c>
      <c r="I35" s="11" cm="1">
        <f t="array" ref="I35">_xlfn.XLOOKUP(Table6[[#This Row],[Nest]]&amp;Table6[[#This Row],[Obs_date]], Model_draft_inc_temp_data!B:B&amp;Model_draft_inc_temp_data!M:M, Model_draft_inc_temp_data!I:I, "No Match")</f>
        <v>43775</v>
      </c>
      <c r="J35" s="11" cm="1">
        <f t="array" ref="J35">_xlfn.XLOOKUP(Table6[[#This Row],[Nest]]&amp;Table6[[#This Row],[Day_of_inc]],Model_draft_inc_temp_data!B:B&amp;Model_draft_inc_temp_data!O:O,Model_draft_inc_temp_data!M:M, "No Match")</f>
        <v>43782</v>
      </c>
      <c r="K35" s="16" cm="1">
        <f t="array" ref="K35">_xlfn.XLOOKUP(Table6[[#This Row],[Nest]]&amp;Table6[[#This Row],[Obs_date]],Sheet2!B:B&amp;Sheet2!E:E, Sheet2!F:F, "No Match")</f>
        <v>0.59504629629629635</v>
      </c>
      <c r="L35">
        <f>_xlfn.XLOOKUP(Table6[[#This Row],[Obs_date]],'19-20_niwa_temp_data'!B:B,'19-20_niwa_temp_data'!G:G, "No Match")</f>
        <v>11.944873377311289</v>
      </c>
      <c r="M35">
        <f>_xlfn.XLOOKUP(Table6[[#This Row],[Nest]],Model_draft_inc_temp_data!B:B,Model_draft_inc_temp_data!L:L, "No Match")</f>
        <v>14</v>
      </c>
      <c r="N35" s="16">
        <v>1.2743055555555556E-2</v>
      </c>
      <c r="O35">
        <f>Table6[[#This Row],[Total_on_bout_duration]]*86400</f>
        <v>1101</v>
      </c>
      <c r="P35" s="16">
        <v>3.0613425925925926E-2</v>
      </c>
      <c r="Q35">
        <v>62.433333333333337</v>
      </c>
      <c r="R35" s="22">
        <f>Table6[[#This Row],[Total_obs_length_minutes]]*60</f>
        <v>3746</v>
      </c>
      <c r="S35">
        <f>Table6[[#This Row],[Total_on_bout_duration_seconds]]/Table6[[#This Row],[Total_obs_length_seconds]]</f>
        <v>0.29391350774159103</v>
      </c>
    </row>
    <row r="36" spans="1:19" x14ac:dyDescent="0.35">
      <c r="A36" t="s">
        <v>9</v>
      </c>
      <c r="B36" t="s">
        <v>41</v>
      </c>
      <c r="C36" t="str">
        <f>_xlfn.XLOOKUP(Table6[[#This Row],[Nest]],Model_draft_inc_temp_data!B:B,Model_draft_inc_temp_data!C:C, "No Match")</f>
        <v>CP13061</v>
      </c>
      <c r="D36">
        <f>_xlfn.XLOOKUP(Table6[[#This Row],[Female_ID]],Model_draft_inc_temp_data!C:C,Model_draft_inc_temp_data!E:E,"No Match")</f>
        <v>1</v>
      </c>
      <c r="E36">
        <f>_xlfn.XLOOKUP(Table6[[#This Row],[Nest]],Model_draft_inc_temp_data!B:B,Model_draft_inc_temp_data!H:H, "No Match")</f>
        <v>3</v>
      </c>
      <c r="F36">
        <f>_xlfn.XLOOKUP(Table6[[#This Row],[Nest]],Model_draft_inc_temp_data!B:B,Model_draft_inc_temp_data!J:J, "No Match")</f>
        <v>0</v>
      </c>
      <c r="G36">
        <v>1</v>
      </c>
      <c r="H36" s="11" cm="1">
        <f t="array" ref="H36">_xlfn.XLOOKUP(Table6[[#This Row],[Nest]]&amp;Table6[[#This Row],[Obs_date]],Model_draft_inc_temp_data!B:B&amp;Model_draft_inc_temp_data!M:M,Model_draft_inc_temp_data!F:F, "No Match")</f>
        <v>43779</v>
      </c>
      <c r="I36" s="11" cm="1">
        <f t="array" ref="I36">_xlfn.XLOOKUP(Table6[[#This Row],[Nest]]&amp;Table6[[#This Row],[Obs_date]], Model_draft_inc_temp_data!B:B&amp;Model_draft_inc_temp_data!M:M, Model_draft_inc_temp_data!I:I, "No Match")</f>
        <v>43781</v>
      </c>
      <c r="J36" s="11" cm="1">
        <f t="array" ref="J36">_xlfn.XLOOKUP(Table6[[#This Row],[Nest]]&amp;Table6[[#This Row],[Day_of_inc]],Model_draft_inc_temp_data!B:B&amp;Model_draft_inc_temp_data!O:O,Model_draft_inc_temp_data!M:M, "No Match")</f>
        <v>43783</v>
      </c>
      <c r="K36" s="16" cm="1">
        <f t="array" ref="K36">_xlfn.XLOOKUP(Table6[[#This Row],[Nest]]&amp;Table6[[#This Row],[Obs_date]],Sheet2!B:B&amp;Sheet2!E:E, Sheet2!F:F, "No Match")</f>
        <v>0.64280092592592597</v>
      </c>
      <c r="L36">
        <f>_xlfn.XLOOKUP(Table6[[#This Row],[Obs_date]],'19-20_niwa_temp_data'!B:B,'19-20_niwa_temp_data'!G:G, "No Match")</f>
        <v>16.095962226595837</v>
      </c>
      <c r="M36">
        <f>_xlfn.XLOOKUP(Table6[[#This Row],[Nest]],Model_draft_inc_temp_data!B:B,Model_draft_inc_temp_data!L:L, "No Match")</f>
        <v>15</v>
      </c>
      <c r="N36" s="16">
        <v>4.1435185185185186E-3</v>
      </c>
      <c r="O36">
        <f>Table6[[#This Row],[Total_on_bout_duration]]*86400</f>
        <v>358</v>
      </c>
      <c r="P36" s="16">
        <v>1.1354166666666667E-2</v>
      </c>
      <c r="Q36">
        <v>34.366666670000001</v>
      </c>
      <c r="R36" s="22">
        <f>Table6[[#This Row],[Total_obs_length_minutes]]*60</f>
        <v>2062.0000002000002</v>
      </c>
      <c r="S36">
        <f>Table6[[#This Row],[Total_on_bout_duration_seconds]]/Table6[[#This Row],[Total_obs_length_seconds]]</f>
        <v>0.17361784673388769</v>
      </c>
    </row>
    <row r="37" spans="1:19" x14ac:dyDescent="0.35">
      <c r="A37" t="s">
        <v>9</v>
      </c>
      <c r="B37" t="s">
        <v>41</v>
      </c>
      <c r="C37" t="str">
        <f>_xlfn.XLOOKUP(Table6[[#This Row],[Nest]],Model_draft_inc_temp_data!B:B,Model_draft_inc_temp_data!C:C, "No Match")</f>
        <v>CP13061</v>
      </c>
      <c r="D37">
        <f>_xlfn.XLOOKUP(Table6[[#This Row],[Female_ID]],Model_draft_inc_temp_data!C:C,Model_draft_inc_temp_data!E:E,"No Match")</f>
        <v>1</v>
      </c>
      <c r="E37">
        <f>_xlfn.XLOOKUP(Table6[[#This Row],[Nest]],Model_draft_inc_temp_data!B:B,Model_draft_inc_temp_data!H:H, "No Match")</f>
        <v>3</v>
      </c>
      <c r="F37">
        <f>_xlfn.XLOOKUP(Table6[[#This Row],[Nest]],Model_draft_inc_temp_data!B:B,Model_draft_inc_temp_data!J:J, "No Match")</f>
        <v>0</v>
      </c>
      <c r="G37">
        <v>13</v>
      </c>
      <c r="H37" s="11" cm="1">
        <f t="array" ref="H37">_xlfn.XLOOKUP(Table6[[#This Row],[Nest]]&amp;Table6[[#This Row],[Obs_date]],Model_draft_inc_temp_data!B:B&amp;Model_draft_inc_temp_data!M:M,Model_draft_inc_temp_data!F:F, "No Match")</f>
        <v>43779</v>
      </c>
      <c r="I37" s="11" cm="1">
        <f t="array" ref="I37">_xlfn.XLOOKUP(Table6[[#This Row],[Nest]]&amp;Table6[[#This Row],[Obs_date]], Model_draft_inc_temp_data!B:B&amp;Model_draft_inc_temp_data!M:M, Model_draft_inc_temp_data!I:I, "No Match")</f>
        <v>43781</v>
      </c>
      <c r="J37" s="11" cm="1">
        <f t="array" ref="J37">_xlfn.XLOOKUP(Table6[[#This Row],[Nest]]&amp;Table6[[#This Row],[Day_of_inc]],Model_draft_inc_temp_data!B:B&amp;Model_draft_inc_temp_data!O:O,Model_draft_inc_temp_data!M:M, "No Match")</f>
        <v>43794</v>
      </c>
      <c r="K37" s="16" cm="1">
        <f t="array" ref="K37">_xlfn.XLOOKUP(Table6[[#This Row],[Nest]]&amp;Table6[[#This Row],[Obs_date]],Sheet2!B:B&amp;Sheet2!E:E, Sheet2!F:F, "No Match")</f>
        <v>0.46883101851851849</v>
      </c>
      <c r="L37">
        <f>_xlfn.XLOOKUP(Table6[[#This Row],[Obs_date]],'19-20_niwa_temp_data'!B:B,'19-20_niwa_temp_data'!G:G, "No Match")</f>
        <v>16.725429740368405</v>
      </c>
      <c r="M37">
        <f>_xlfn.XLOOKUP(Table6[[#This Row],[Nest]],Model_draft_inc_temp_data!B:B,Model_draft_inc_temp_data!L:L, "No Match")</f>
        <v>15</v>
      </c>
      <c r="N37" s="16">
        <v>5.1122685185185181E-2</v>
      </c>
      <c r="O37">
        <f>Table6[[#This Row],[Total_on_bout_duration]]*86400</f>
        <v>4417</v>
      </c>
      <c r="P37" s="16">
        <v>4.0659722222222222E-2</v>
      </c>
      <c r="Q37">
        <v>79</v>
      </c>
      <c r="R37" s="22">
        <f>Table6[[#This Row],[Total_obs_length_minutes]]*60</f>
        <v>4740</v>
      </c>
      <c r="S37">
        <f>Table6[[#This Row],[Total_on_bout_duration_seconds]]/Table6[[#This Row],[Total_obs_length_seconds]]</f>
        <v>0.93185654008438823</v>
      </c>
    </row>
    <row r="38" spans="1:19" x14ac:dyDescent="0.35">
      <c r="A38" t="s">
        <v>9</v>
      </c>
      <c r="B38" t="s">
        <v>54</v>
      </c>
      <c r="C38" t="str">
        <f>_xlfn.XLOOKUP(Table6[[#This Row],[Nest]],Model_draft_inc_temp_data!B:B,Model_draft_inc_temp_data!C:C, "No Match")</f>
        <v>CP13554</v>
      </c>
      <c r="D38">
        <f>_xlfn.XLOOKUP(Table6[[#This Row],[Female_ID]],Model_draft_inc_temp_data!C:C,Model_draft_inc_temp_data!E:E,"No Match")</f>
        <v>1</v>
      </c>
      <c r="E38">
        <f>_xlfn.XLOOKUP(Table6[[#This Row],[Nest]],Model_draft_inc_temp_data!B:B,Model_draft_inc_temp_data!H:H, "No Match")</f>
        <v>4</v>
      </c>
      <c r="F38">
        <f>_xlfn.XLOOKUP(Table6[[#This Row],[Nest]],Model_draft_inc_temp_data!B:B,Model_draft_inc_temp_data!J:J, "No Match")</f>
        <v>0</v>
      </c>
      <c r="G38">
        <v>1</v>
      </c>
      <c r="H38" s="11" cm="1">
        <f t="array" ref="H38">_xlfn.XLOOKUP(Table6[[#This Row],[Nest]]&amp;Table6[[#This Row],[Obs_date]],Model_draft_inc_temp_data!B:B&amp;Model_draft_inc_temp_data!M:M,Model_draft_inc_temp_data!F:F, "No Match")</f>
        <v>43789</v>
      </c>
      <c r="I38" s="11" cm="1">
        <f t="array" ref="I38">_xlfn.XLOOKUP(Table6[[#This Row],[Nest]]&amp;Table6[[#This Row],[Obs_date]], Model_draft_inc_temp_data!B:B&amp;Model_draft_inc_temp_data!M:M, Model_draft_inc_temp_data!I:I, "No Match")</f>
        <v>43792</v>
      </c>
      <c r="J38" s="11" cm="1">
        <f t="array" ref="J38">_xlfn.XLOOKUP(Table6[[#This Row],[Nest]]&amp;Table6[[#This Row],[Day_of_inc]],Model_draft_inc_temp_data!B:B&amp;Model_draft_inc_temp_data!O:O,Model_draft_inc_temp_data!M:M, "No Match")</f>
        <v>43793</v>
      </c>
      <c r="K38" s="16" cm="1">
        <f t="array" ref="K38">_xlfn.XLOOKUP(Table6[[#This Row],[Nest]]&amp;Table6[[#This Row],[Obs_date]],Sheet2!B:B&amp;Sheet2!E:E, Sheet2!F:F, "No Match")</f>
        <v>0.56319444444444444</v>
      </c>
      <c r="L38">
        <f>_xlfn.XLOOKUP(Table6[[#This Row],[Obs_date]],'19-20_niwa_temp_data'!B:B,'19-20_niwa_temp_data'!G:G, "No Match")</f>
        <v>16.778557744931476</v>
      </c>
      <c r="M38">
        <f>_xlfn.XLOOKUP(Table6[[#This Row],[Nest]],Model_draft_inc_temp_data!B:B,Model_draft_inc_temp_data!L:L, "No Match")</f>
        <v>14</v>
      </c>
      <c r="N38" s="16">
        <v>6.7013888888888887E-3</v>
      </c>
      <c r="O38">
        <f>Table6[[#This Row],[Total_on_bout_duration]]*86400</f>
        <v>579</v>
      </c>
      <c r="P38" s="16">
        <v>3.0682870370370367E-2</v>
      </c>
      <c r="Q38">
        <v>61</v>
      </c>
      <c r="R38" s="22">
        <f>Table6[[#This Row],[Total_obs_length_minutes]]*60</f>
        <v>3660</v>
      </c>
      <c r="S38">
        <f>Table6[[#This Row],[Total_on_bout_duration_seconds]]/Table6[[#This Row],[Total_obs_length_seconds]]</f>
        <v>0.15819672131147541</v>
      </c>
    </row>
    <row r="39" spans="1:19" x14ac:dyDescent="0.35">
      <c r="A39" t="s">
        <v>9</v>
      </c>
      <c r="B39" t="s">
        <v>54</v>
      </c>
      <c r="C39" t="str">
        <f>_xlfn.XLOOKUP(Table6[[#This Row],[Nest]],Model_draft_inc_temp_data!B:B,Model_draft_inc_temp_data!C:C, "No Match")</f>
        <v>CP13554</v>
      </c>
      <c r="D39">
        <f>_xlfn.XLOOKUP(Table6[[#This Row],[Female_ID]],Model_draft_inc_temp_data!C:C,Model_draft_inc_temp_data!E:E,"No Match")</f>
        <v>1</v>
      </c>
      <c r="E39">
        <f>_xlfn.XLOOKUP(Table6[[#This Row],[Nest]],Model_draft_inc_temp_data!B:B,Model_draft_inc_temp_data!H:H, "No Match")</f>
        <v>4</v>
      </c>
      <c r="F39">
        <f>_xlfn.XLOOKUP(Table6[[#This Row],[Nest]],Model_draft_inc_temp_data!B:B,Model_draft_inc_temp_data!J:J, "No Match")</f>
        <v>0</v>
      </c>
      <c r="G39">
        <v>13</v>
      </c>
      <c r="H39" s="11" cm="1">
        <f t="array" ref="H39">_xlfn.XLOOKUP(Table6[[#This Row],[Nest]]&amp;Table6[[#This Row],[Obs_date]],Model_draft_inc_temp_data!B:B&amp;Model_draft_inc_temp_data!M:M,Model_draft_inc_temp_data!F:F, "No Match")</f>
        <v>43789</v>
      </c>
      <c r="I39" s="11" cm="1">
        <f t="array" ref="I39">_xlfn.XLOOKUP(Table6[[#This Row],[Nest]]&amp;Table6[[#This Row],[Obs_date]], Model_draft_inc_temp_data!B:B&amp;Model_draft_inc_temp_data!M:M, Model_draft_inc_temp_data!I:I, "No Match")</f>
        <v>43792</v>
      </c>
      <c r="J39" s="11" cm="1">
        <f t="array" ref="J39">_xlfn.XLOOKUP(Table6[[#This Row],[Nest]]&amp;Table6[[#This Row],[Day_of_inc]],Model_draft_inc_temp_data!B:B&amp;Model_draft_inc_temp_data!O:O,Model_draft_inc_temp_data!M:M, "No Match")</f>
        <v>43804</v>
      </c>
      <c r="K39" s="16" cm="1">
        <f t="array" ref="K39">_xlfn.XLOOKUP(Table6[[#This Row],[Nest]]&amp;Table6[[#This Row],[Obs_date]],Sheet2!B:B&amp;Sheet2!E:E, Sheet2!F:F, "No Match")</f>
        <v>0.46724537037037039</v>
      </c>
      <c r="L39">
        <f>_xlfn.XLOOKUP(Table6[[#This Row],[Obs_date]],'19-20_niwa_temp_data'!B:B,'19-20_niwa_temp_data'!G:G, "No Match")</f>
        <v>17.28930305130892</v>
      </c>
      <c r="M39">
        <f>_xlfn.XLOOKUP(Table6[[#This Row],[Nest]],Model_draft_inc_temp_data!B:B,Model_draft_inc_temp_data!L:L, "No Match")</f>
        <v>14</v>
      </c>
      <c r="N39" s="16">
        <v>9.9305555555555553E-3</v>
      </c>
      <c r="O39">
        <f>Table6[[#This Row],[Total_on_bout_duration]]*86400</f>
        <v>858</v>
      </c>
      <c r="P39" s="16">
        <v>3.7384259259259259E-3</v>
      </c>
      <c r="Q39">
        <v>67</v>
      </c>
      <c r="R39" s="22">
        <f>Table6[[#This Row],[Total_obs_length_minutes]]*60</f>
        <v>4020</v>
      </c>
      <c r="S39">
        <f>Table6[[#This Row],[Total_on_bout_duration_seconds]]/Table6[[#This Row],[Total_obs_length_seconds]]</f>
        <v>0.21343283582089553</v>
      </c>
    </row>
    <row r="40" spans="1:19" x14ac:dyDescent="0.35">
      <c r="A40" t="s">
        <v>9</v>
      </c>
      <c r="B40" t="s">
        <v>29</v>
      </c>
      <c r="C40" t="str">
        <f>_xlfn.XLOOKUP(Table6[[#This Row],[Nest]],Model_draft_inc_temp_data!B:B,Model_draft_inc_temp_data!C:C, "No Match")</f>
        <v>CP13521</v>
      </c>
      <c r="D40">
        <f>_xlfn.XLOOKUP(Table6[[#This Row],[Female_ID]],Model_draft_inc_temp_data!C:C,Model_draft_inc_temp_data!E:E,"No Match")</f>
        <v>1</v>
      </c>
      <c r="E40">
        <f>_xlfn.XLOOKUP(Table6[[#This Row],[Nest]],Model_draft_inc_temp_data!B:B,Model_draft_inc_temp_data!H:H, "No Match")</f>
        <v>4</v>
      </c>
      <c r="F40">
        <f>_xlfn.XLOOKUP(Table6[[#This Row],[Nest]],Model_draft_inc_temp_data!B:B,Model_draft_inc_temp_data!J:J, "No Match")</f>
        <v>0</v>
      </c>
      <c r="G40">
        <v>7</v>
      </c>
      <c r="H40" s="11" cm="1">
        <f t="array" ref="H40">_xlfn.XLOOKUP(Table6[[#This Row],[Nest]]&amp;Table6[[#This Row],[Obs_date]],Model_draft_inc_temp_data!B:B&amp;Model_draft_inc_temp_data!M:M,Model_draft_inc_temp_data!F:F, "No Match")</f>
        <v>43793</v>
      </c>
      <c r="I40" s="11" cm="1">
        <f t="array" ref="I40">_xlfn.XLOOKUP(Table6[[#This Row],[Nest]]&amp;Table6[[#This Row],[Obs_date]], Model_draft_inc_temp_data!B:B&amp;Model_draft_inc_temp_data!M:M, Model_draft_inc_temp_data!I:I, "No Match")</f>
        <v>43775</v>
      </c>
      <c r="J40" s="11" cm="1">
        <f t="array" ref="J40">_xlfn.XLOOKUP(Table6[[#This Row],[Nest]]&amp;Table6[[#This Row],[Day_of_inc]],Model_draft_inc_temp_data!B:B&amp;Model_draft_inc_temp_data!O:O,Model_draft_inc_temp_data!M:M, "No Match")</f>
        <v>43803</v>
      </c>
      <c r="K40" s="16" cm="1">
        <f t="array" ref="K40">_xlfn.XLOOKUP(Table6[[#This Row],[Nest]]&amp;Table6[[#This Row],[Obs_date]],Sheet2!B:B&amp;Sheet2!E:E, Sheet2!F:F, "No Match")</f>
        <v>0.51778935185185182</v>
      </c>
      <c r="L40">
        <f>_xlfn.XLOOKUP(Table6[[#This Row],[Obs_date]],'19-20_niwa_temp_data'!B:B,'19-20_niwa_temp_data'!G:G, "No Match")</f>
        <v>18.059900331950896</v>
      </c>
      <c r="M40" t="str">
        <f>_xlfn.XLOOKUP(Table6[[#This Row],[Nest]],Model_draft_inc_temp_data!B:B,Model_draft_inc_temp_data!L:L, "No Match")</f>
        <v>N/A</v>
      </c>
      <c r="N40" s="16">
        <v>3.4178240740740738E-2</v>
      </c>
      <c r="O40">
        <f>Table6[[#This Row],[Total_on_bout_duration]]*86400</f>
        <v>2953</v>
      </c>
      <c r="P40" s="16">
        <v>1.846064814814815E-2</v>
      </c>
      <c r="Q40">
        <v>150.96666669999999</v>
      </c>
      <c r="R40" s="22">
        <f>Table6[[#This Row],[Total_obs_length_minutes]]*60</f>
        <v>9058.0000019999989</v>
      </c>
      <c r="S40">
        <f>Table6[[#This Row],[Total_on_bout_duration_seconds]]/Table6[[#This Row],[Total_obs_length_seconds]]</f>
        <v>0.32601015669551558</v>
      </c>
    </row>
    <row r="41" spans="1:19" x14ac:dyDescent="0.35">
      <c r="A41" t="s">
        <v>9</v>
      </c>
      <c r="B41" t="s">
        <v>28</v>
      </c>
      <c r="C41" t="str">
        <f>_xlfn.XLOOKUP(Table6[[#This Row],[Nest]],Model_draft_inc_temp_data!B:B,Model_draft_inc_temp_data!C:C, "No Match")</f>
        <v>CP13055</v>
      </c>
      <c r="D41">
        <f>_xlfn.XLOOKUP(Table6[[#This Row],[Female_ID]],Model_draft_inc_temp_data!C:C,Model_draft_inc_temp_data!E:E,"No Match")</f>
        <v>1</v>
      </c>
      <c r="E41">
        <f>_xlfn.XLOOKUP(Table6[[#This Row],[Nest]],Model_draft_inc_temp_data!B:B,Model_draft_inc_temp_data!H:H, "No Match")</f>
        <v>1</v>
      </c>
      <c r="F41">
        <f>_xlfn.XLOOKUP(Table6[[#This Row],[Nest]],Model_draft_inc_temp_data!B:B,Model_draft_inc_temp_data!J:J, "No Match")</f>
        <v>0</v>
      </c>
      <c r="G41">
        <v>7</v>
      </c>
      <c r="H41" s="11" cm="1">
        <f t="array" ref="H41">_xlfn.XLOOKUP(Table6[[#This Row],[Nest]]&amp;Table6[[#This Row],[Obs_date]],Model_draft_inc_temp_data!B:B&amp;Model_draft_inc_temp_data!M:M,Model_draft_inc_temp_data!F:F, "No Match")</f>
        <v>43775</v>
      </c>
      <c r="I41" s="11" cm="1">
        <f t="array" ref="I41">_xlfn.XLOOKUP(Table6[[#This Row],[Nest]]&amp;Table6[[#This Row],[Obs_date]], Model_draft_inc_temp_data!B:B&amp;Model_draft_inc_temp_data!M:M, Model_draft_inc_temp_data!I:I, "No Match")</f>
        <v>43775</v>
      </c>
      <c r="J41" s="11" cm="1">
        <f t="array" ref="J41">_xlfn.XLOOKUP(Table6[[#This Row],[Nest]]&amp;Table6[[#This Row],[Day_of_inc]],Model_draft_inc_temp_data!B:B&amp;Model_draft_inc_temp_data!O:O,Model_draft_inc_temp_data!M:M, "No Match")</f>
        <v>43782</v>
      </c>
      <c r="K41" s="16" cm="1">
        <f t="array" ref="K41">_xlfn.XLOOKUP(Table6[[#This Row],[Nest]]&amp;Table6[[#This Row],[Obs_date]],Sheet2!B:B&amp;Sheet2!E:E, Sheet2!F:F, "No Match")</f>
        <v>0.53880787037037037</v>
      </c>
      <c r="L41">
        <f>_xlfn.XLOOKUP(Table6[[#This Row],[Obs_date]],'19-20_niwa_temp_data'!B:B,'19-20_niwa_temp_data'!G:G, "No Match")</f>
        <v>11.944873377311289</v>
      </c>
      <c r="M41" t="str">
        <f>_xlfn.XLOOKUP(Table6[[#This Row],[Nest]],Model_draft_inc_temp_data!B:B,Model_draft_inc_temp_data!L:L, "No Match")</f>
        <v>N/A</v>
      </c>
      <c r="N41" s="16">
        <v>1.2951388888888889E-2</v>
      </c>
      <c r="O41">
        <f>Table6[[#This Row],[Total_on_bout_duration]]*86400</f>
        <v>1119</v>
      </c>
      <c r="P41" s="16">
        <v>1.8136574074074076E-2</v>
      </c>
      <c r="Q41">
        <v>62</v>
      </c>
      <c r="R41" s="22">
        <f>Table6[[#This Row],[Total_obs_length_minutes]]*60</f>
        <v>3720</v>
      </c>
      <c r="S41">
        <f>Table6[[#This Row],[Total_on_bout_duration_seconds]]/Table6[[#This Row],[Total_obs_length_seconds]]</f>
        <v>0.3008064516129032</v>
      </c>
    </row>
    <row r="42" spans="1:19" x14ac:dyDescent="0.35">
      <c r="A42" t="s">
        <v>9</v>
      </c>
      <c r="B42" t="s">
        <v>66</v>
      </c>
      <c r="C42" t="str">
        <f>_xlfn.XLOOKUP(Table6[[#This Row],[Nest]],Model_draft_inc_temp_data!B:B,Model_draft_inc_temp_data!C:C, "No Match")</f>
        <v>CP12980</v>
      </c>
      <c r="D42">
        <f>_xlfn.XLOOKUP(Table6[[#This Row],[Female_ID]],Model_draft_inc_temp_data!C:C,Model_draft_inc_temp_data!E:E,"No Match")</f>
        <v>2</v>
      </c>
      <c r="E42">
        <f>_xlfn.XLOOKUP(Table6[[#This Row],[Nest]],Model_draft_inc_temp_data!B:B,Model_draft_inc_temp_data!H:H, "No Match")</f>
        <v>5</v>
      </c>
      <c r="F42">
        <f>_xlfn.XLOOKUP(Table6[[#This Row],[Nest]],Model_draft_inc_temp_data!B:B,Model_draft_inc_temp_data!J:J, "No Match")</f>
        <v>0</v>
      </c>
      <c r="G42">
        <v>1</v>
      </c>
      <c r="H42" s="11" cm="1">
        <f t="array" ref="H42">_xlfn.XLOOKUP(Table6[[#This Row],[Nest]]&amp;Table6[[#This Row],[Obs_date]],Model_draft_inc_temp_data!B:B&amp;Model_draft_inc_temp_data!M:M,Model_draft_inc_temp_data!F:F, "No Match")</f>
        <v>43801</v>
      </c>
      <c r="I42" s="11" cm="1">
        <f t="array" ref="I42">_xlfn.XLOOKUP(Table6[[#This Row],[Nest]]&amp;Table6[[#This Row],[Obs_date]], Model_draft_inc_temp_data!B:B&amp;Model_draft_inc_temp_data!M:M, Model_draft_inc_temp_data!I:I, "No Match")</f>
        <v>43805</v>
      </c>
      <c r="J42" s="11" cm="1">
        <f t="array" ref="J42">_xlfn.XLOOKUP(Table6[[#This Row],[Nest]]&amp;Table6[[#This Row],[Day_of_inc]],Model_draft_inc_temp_data!B:B&amp;Model_draft_inc_temp_data!O:O,Model_draft_inc_temp_data!M:M, "No Match")</f>
        <v>43805</v>
      </c>
      <c r="K42" s="16" cm="1">
        <f t="array" ref="K42">_xlfn.XLOOKUP(Table6[[#This Row],[Nest]]&amp;Table6[[#This Row],[Obs_date]],Sheet2!B:B&amp;Sheet2!E:E, Sheet2!F:F, "No Match")</f>
        <v>0.51490740740740737</v>
      </c>
      <c r="L42">
        <f>_xlfn.XLOOKUP(Table6[[#This Row],[Obs_date]],'19-20_niwa_temp_data'!B:B,'19-20_niwa_temp_data'!G:G, "No Match")</f>
        <v>17.764852940567788</v>
      </c>
      <c r="M42">
        <f>_xlfn.XLOOKUP(Table6[[#This Row],[Nest]],Model_draft_inc_temp_data!B:B,Model_draft_inc_temp_data!L:L, "No Match")</f>
        <v>14</v>
      </c>
      <c r="N42" s="16">
        <v>1.8287037037037037E-3</v>
      </c>
      <c r="O42">
        <f>Table6[[#This Row],[Total_on_bout_duration]]*86400</f>
        <v>158</v>
      </c>
      <c r="P42" s="16">
        <v>4.2129629629629626E-3</v>
      </c>
      <c r="Q42">
        <v>73</v>
      </c>
      <c r="R42" s="22">
        <f>Table6[[#This Row],[Total_obs_length_minutes]]*60</f>
        <v>4380</v>
      </c>
      <c r="S42">
        <f>Table6[[#This Row],[Total_on_bout_duration_seconds]]/Table6[[#This Row],[Total_obs_length_seconds]]</f>
        <v>3.6073059360730596E-2</v>
      </c>
    </row>
    <row r="43" spans="1:19" x14ac:dyDescent="0.35">
      <c r="A43" t="s">
        <v>9</v>
      </c>
      <c r="B43" t="s">
        <v>18</v>
      </c>
      <c r="C43" t="str">
        <f>_xlfn.XLOOKUP(Table6[[#This Row],[Nest]],Model_draft_inc_temp_data!B:B,Model_draft_inc_temp_data!C:C, "No Match")</f>
        <v>CP13437</v>
      </c>
      <c r="D43">
        <f>_xlfn.XLOOKUP(Table6[[#This Row],[Female_ID]],Model_draft_inc_temp_data!C:C,Model_draft_inc_temp_data!E:E,"No Match")</f>
        <v>1</v>
      </c>
      <c r="E43">
        <f>_xlfn.XLOOKUP(Table6[[#This Row],[Nest]],Model_draft_inc_temp_data!B:B,Model_draft_inc_temp_data!H:H, "No Match")</f>
        <v>4</v>
      </c>
      <c r="F43">
        <f>_xlfn.XLOOKUP(Table6[[#This Row],[Nest]],Model_draft_inc_temp_data!B:B,Model_draft_inc_temp_data!J:J, "No Match")</f>
        <v>0</v>
      </c>
      <c r="G43">
        <v>1</v>
      </c>
      <c r="H43" s="11" cm="1">
        <f t="array" ref="H43">_xlfn.XLOOKUP(Table6[[#This Row],[Nest]]&amp;Table6[[#This Row],[Obs_date]],Model_draft_inc_temp_data!B:B&amp;Model_draft_inc_temp_data!M:M,Model_draft_inc_temp_data!F:F, "No Match")</f>
        <v>43771</v>
      </c>
      <c r="I43" s="11" cm="1">
        <f t="array" ref="I43">_xlfn.XLOOKUP(Table6[[#This Row],[Nest]]&amp;Table6[[#This Row],[Obs_date]], Model_draft_inc_temp_data!B:B&amp;Model_draft_inc_temp_data!M:M, Model_draft_inc_temp_data!I:I, "No Match")</f>
        <v>43774</v>
      </c>
      <c r="J43" s="11" cm="1">
        <f t="array" ref="J43">_xlfn.XLOOKUP(Table6[[#This Row],[Nest]]&amp;Table6[[#This Row],[Day_of_inc]],Model_draft_inc_temp_data!B:B&amp;Model_draft_inc_temp_data!O:O,Model_draft_inc_temp_data!M:M, "No Match")</f>
        <v>43776</v>
      </c>
      <c r="K43" s="16" cm="1">
        <f t="array" ref="K43">_xlfn.XLOOKUP(Table6[[#This Row],[Nest]]&amp;Table6[[#This Row],[Obs_date]],Sheet2!B:B&amp;Sheet2!E:E, Sheet2!F:F, "No Match")</f>
        <v>0.57430555555555551</v>
      </c>
      <c r="L43">
        <f>_xlfn.XLOOKUP(Table6[[#This Row],[Obs_date]],'19-20_niwa_temp_data'!B:B,'19-20_niwa_temp_data'!G:G, "No Match")</f>
        <v>17.675972391922318</v>
      </c>
      <c r="M43">
        <f>_xlfn.XLOOKUP(Table6[[#This Row],[Nest]],Model_draft_inc_temp_data!B:B,Model_draft_inc_temp_data!L:L, "No Match")</f>
        <v>15</v>
      </c>
      <c r="N43" s="16">
        <v>9.6412037037037039E-3</v>
      </c>
      <c r="O43">
        <f>Table6[[#This Row],[Total_on_bout_duration]]*86400</f>
        <v>833</v>
      </c>
      <c r="P43" s="16">
        <v>2.0162037037037037E-2</v>
      </c>
      <c r="Q43">
        <v>63</v>
      </c>
      <c r="R43" s="22">
        <f>Table6[[#This Row],[Total_obs_length_minutes]]*60</f>
        <v>3780</v>
      </c>
      <c r="S43">
        <f>Table6[[#This Row],[Total_on_bout_duration_seconds]]/Table6[[#This Row],[Total_obs_length_seconds]]</f>
        <v>0.22037037037037038</v>
      </c>
    </row>
    <row r="44" spans="1:19" x14ac:dyDescent="0.35">
      <c r="A44" t="s">
        <v>9</v>
      </c>
      <c r="B44" t="s">
        <v>18</v>
      </c>
      <c r="C44" t="str">
        <f>_xlfn.XLOOKUP(Table6[[#This Row],[Nest]],Model_draft_inc_temp_data!B:B,Model_draft_inc_temp_data!C:C, "No Match")</f>
        <v>CP13437</v>
      </c>
      <c r="D44">
        <f>_xlfn.XLOOKUP(Table6[[#This Row],[Female_ID]],Model_draft_inc_temp_data!C:C,Model_draft_inc_temp_data!E:E,"No Match")</f>
        <v>1</v>
      </c>
      <c r="E44">
        <f>_xlfn.XLOOKUP(Table6[[#This Row],[Nest]],Model_draft_inc_temp_data!B:B,Model_draft_inc_temp_data!H:H, "No Match")</f>
        <v>4</v>
      </c>
      <c r="F44">
        <f>_xlfn.XLOOKUP(Table6[[#This Row],[Nest]],Model_draft_inc_temp_data!B:B,Model_draft_inc_temp_data!J:J, "No Match")</f>
        <v>0</v>
      </c>
      <c r="G44">
        <v>3</v>
      </c>
      <c r="H44" s="11" cm="1">
        <f t="array" ref="H44">_xlfn.XLOOKUP(Table6[[#This Row],[Nest]]&amp;Table6[[#This Row],[Obs_date]],Model_draft_inc_temp_data!B:B&amp;Model_draft_inc_temp_data!M:M,Model_draft_inc_temp_data!F:F, "No Match")</f>
        <v>43771</v>
      </c>
      <c r="I44" s="11" cm="1">
        <f t="array" ref="I44">_xlfn.XLOOKUP(Table6[[#This Row],[Nest]]&amp;Table6[[#This Row],[Obs_date]], Model_draft_inc_temp_data!B:B&amp;Model_draft_inc_temp_data!M:M, Model_draft_inc_temp_data!I:I, "No Match")</f>
        <v>43774</v>
      </c>
      <c r="J44" s="11" cm="1">
        <f t="array" ref="J44">_xlfn.XLOOKUP(Table6[[#This Row],[Nest]]&amp;Table6[[#This Row],[Day_of_inc]],Model_draft_inc_temp_data!B:B&amp;Model_draft_inc_temp_data!O:O,Model_draft_inc_temp_data!M:M, "No Match")</f>
        <v>43776</v>
      </c>
      <c r="K44" s="16" cm="1">
        <f t="array" ref="K44">_xlfn.XLOOKUP(Table6[[#This Row],[Nest]]&amp;Table6[[#This Row],[Obs_date]],Sheet2!B:B&amp;Sheet2!E:E, Sheet2!F:F, "No Match")</f>
        <v>0.57430555555555551</v>
      </c>
      <c r="L44">
        <f>_xlfn.XLOOKUP(Table6[[#This Row],[Obs_date]],'19-20_niwa_temp_data'!B:B,'19-20_niwa_temp_data'!G:G, "No Match")</f>
        <v>17.675972391922318</v>
      </c>
      <c r="M44">
        <f>_xlfn.XLOOKUP(Table6[[#This Row],[Nest]],Model_draft_inc_temp_data!B:B,Model_draft_inc_temp_data!L:L, "No Match")</f>
        <v>15</v>
      </c>
      <c r="N44" s="16">
        <v>3.2175925925925927E-2</v>
      </c>
      <c r="O44">
        <f>Table6[[#This Row],[Total_on_bout_duration]]*86400</f>
        <v>2780</v>
      </c>
      <c r="P44" s="16">
        <v>9.4907407407407406E-3</v>
      </c>
      <c r="Q44">
        <v>60</v>
      </c>
      <c r="R44" s="22">
        <f>Table6[[#This Row],[Total_obs_length_minutes]]*60</f>
        <v>3600</v>
      </c>
      <c r="S44">
        <f>Table6[[#This Row],[Total_on_bout_duration_seconds]]/Table6[[#This Row],[Total_obs_length_seconds]]</f>
        <v>0.77222222222222225</v>
      </c>
    </row>
    <row r="45" spans="1:19" x14ac:dyDescent="0.35">
      <c r="A45" t="s">
        <v>9</v>
      </c>
      <c r="B45" t="s">
        <v>69</v>
      </c>
      <c r="C45" t="str">
        <f>_xlfn.XLOOKUP(Table6[[#This Row],[Nest]],Model_draft_inc_temp_data!B:B,Model_draft_inc_temp_data!C:C, "No Match")</f>
        <v>CP12941</v>
      </c>
      <c r="D45">
        <f>_xlfn.XLOOKUP(Table6[[#This Row],[Female_ID]],Model_draft_inc_temp_data!C:C,Model_draft_inc_temp_data!E:E,"No Match")</f>
        <v>2</v>
      </c>
      <c r="E45">
        <f>_xlfn.XLOOKUP(Table6[[#This Row],[Nest]],Model_draft_inc_temp_data!B:B,Model_draft_inc_temp_data!H:H, "No Match")</f>
        <v>4</v>
      </c>
      <c r="F45">
        <f>_xlfn.XLOOKUP(Table6[[#This Row],[Nest]],Model_draft_inc_temp_data!B:B,Model_draft_inc_temp_data!J:J, "No Match")</f>
        <v>0</v>
      </c>
      <c r="G45">
        <v>1</v>
      </c>
      <c r="H45" s="11" cm="1">
        <f t="array" ref="H45">_xlfn.XLOOKUP(Table6[[#This Row],[Nest]]&amp;Table6[[#This Row],[Obs_date]],Model_draft_inc_temp_data!B:B&amp;Model_draft_inc_temp_data!M:M,Model_draft_inc_temp_data!F:F, "No Match")</f>
        <v>43802</v>
      </c>
      <c r="I45" s="11" cm="1">
        <f t="array" ref="I45">_xlfn.XLOOKUP(Table6[[#This Row],[Nest]]&amp;Table6[[#This Row],[Obs_date]], Model_draft_inc_temp_data!B:B&amp;Model_draft_inc_temp_data!M:M, Model_draft_inc_temp_data!I:I, "No Match")</f>
        <v>43805</v>
      </c>
      <c r="J45" s="11" cm="1">
        <f t="array" ref="J45">_xlfn.XLOOKUP(Table6[[#This Row],[Nest]]&amp;Table6[[#This Row],[Day_of_inc]],Model_draft_inc_temp_data!B:B&amp;Model_draft_inc_temp_data!O:O,Model_draft_inc_temp_data!M:M, "No Match")</f>
        <v>43806</v>
      </c>
      <c r="K45" s="16" cm="1">
        <f t="array" ref="K45">_xlfn.XLOOKUP(Table6[[#This Row],[Nest]]&amp;Table6[[#This Row],[Obs_date]],Sheet2!B:B&amp;Sheet2!E:E, Sheet2!F:F, "No Match")</f>
        <v>0.51105324074074077</v>
      </c>
      <c r="L45">
        <f>_xlfn.XLOOKUP(Table6[[#This Row],[Obs_date]],'19-20_niwa_temp_data'!B:B,'19-20_niwa_temp_data'!G:G, "No Match")</f>
        <v>18.187358246870268</v>
      </c>
      <c r="M45">
        <f>_xlfn.XLOOKUP(Table6[[#This Row],[Nest]],Model_draft_inc_temp_data!B:B,Model_draft_inc_temp_data!L:L, "No Match")</f>
        <v>14</v>
      </c>
      <c r="N45" s="16">
        <v>7.9861111111111105E-3</v>
      </c>
      <c r="O45">
        <f>Table6[[#This Row],[Total_on_bout_duration]]*86400</f>
        <v>690</v>
      </c>
      <c r="P45" s="16">
        <v>1.5879629629629629E-2</v>
      </c>
      <c r="Q45">
        <v>70</v>
      </c>
      <c r="R45" s="22">
        <f>Table6[[#This Row],[Total_obs_length_minutes]]*60</f>
        <v>4200</v>
      </c>
      <c r="S45">
        <f>Table6[[#This Row],[Total_on_bout_duration_seconds]]/Table6[[#This Row],[Total_obs_length_seconds]]</f>
        <v>0.16428571428571428</v>
      </c>
    </row>
    <row r="46" spans="1:19" x14ac:dyDescent="0.35">
      <c r="A46" t="s">
        <v>9</v>
      </c>
      <c r="B46" t="s">
        <v>17</v>
      </c>
      <c r="C46" t="str">
        <f>_xlfn.XLOOKUP(Table6[[#This Row],[Nest]],Model_draft_inc_temp_data!B:B,Model_draft_inc_temp_data!C:C, "No Match")</f>
        <v>CP9214</v>
      </c>
      <c r="D46">
        <f>_xlfn.XLOOKUP(Table6[[#This Row],[Female_ID]],Model_draft_inc_temp_data!C:C,Model_draft_inc_temp_data!E:E,"No Match")</f>
        <v>4</v>
      </c>
      <c r="E46">
        <f>_xlfn.XLOOKUP(Table6[[#This Row],[Nest]],Model_draft_inc_temp_data!B:B,Model_draft_inc_temp_data!H:H, "No Match")</f>
        <v>4</v>
      </c>
      <c r="F46">
        <f>_xlfn.XLOOKUP(Table6[[#This Row],[Nest]],Model_draft_inc_temp_data!B:B,Model_draft_inc_temp_data!J:J, "No Match")</f>
        <v>0</v>
      </c>
      <c r="G46">
        <v>2</v>
      </c>
      <c r="H46" s="11" cm="1">
        <f t="array" ref="H46">_xlfn.XLOOKUP(Table6[[#This Row],[Nest]]&amp;Table6[[#This Row],[Obs_date]],Model_draft_inc_temp_data!B:B&amp;Model_draft_inc_temp_data!M:M,Model_draft_inc_temp_data!F:F, "No Match")</f>
        <v>43770</v>
      </c>
      <c r="I46" s="11" cm="1">
        <f t="array" ref="I46">_xlfn.XLOOKUP(Table6[[#This Row],[Nest]]&amp;Table6[[#This Row],[Obs_date]], Model_draft_inc_temp_data!B:B&amp;Model_draft_inc_temp_data!M:M, Model_draft_inc_temp_data!I:I, "No Match")</f>
        <v>43773</v>
      </c>
      <c r="J46" s="11" cm="1">
        <f t="array" ref="J46">_xlfn.XLOOKUP(Table6[[#This Row],[Nest]]&amp;Table6[[#This Row],[Day_of_inc]],Model_draft_inc_temp_data!B:B&amp;Model_draft_inc_temp_data!O:O,Model_draft_inc_temp_data!M:M, "No Match")</f>
        <v>43774</v>
      </c>
      <c r="K46" s="16" cm="1">
        <f t="array" ref="K46">_xlfn.XLOOKUP(Table6[[#This Row],[Nest]]&amp;Table6[[#This Row],[Obs_date]],Sheet2!B:B&amp;Sheet2!E:E, Sheet2!F:F, "No Match")</f>
        <v>0.5229166666666667</v>
      </c>
      <c r="L46">
        <f>_xlfn.XLOOKUP(Table6[[#This Row],[Obs_date]],'19-20_niwa_temp_data'!B:B,'19-20_niwa_temp_data'!G:G, "No Match")</f>
        <v>16.129166128476697</v>
      </c>
      <c r="M46">
        <f>_xlfn.XLOOKUP(Table6[[#This Row],[Nest]],Model_draft_inc_temp_data!B:B,Model_draft_inc_temp_data!L:L, "No Match")</f>
        <v>14</v>
      </c>
      <c r="N46" s="16">
        <v>1.2372685185185184E-2</v>
      </c>
      <c r="O46">
        <f>Table6[[#This Row],[Total_on_bout_duration]]*86400</f>
        <v>1069</v>
      </c>
      <c r="P46" s="16">
        <v>1.9884259259259261E-2</v>
      </c>
      <c r="Q46">
        <v>60</v>
      </c>
      <c r="R46" s="22">
        <f>Table6[[#This Row],[Total_obs_length_minutes]]*60</f>
        <v>3600</v>
      </c>
      <c r="S46">
        <f>Table6[[#This Row],[Total_on_bout_duration_seconds]]/Table6[[#This Row],[Total_obs_length_seconds]]</f>
        <v>0.29694444444444446</v>
      </c>
    </row>
    <row r="47" spans="1:19" x14ac:dyDescent="0.35">
      <c r="A47" t="s">
        <v>9</v>
      </c>
      <c r="B47" t="s">
        <v>17</v>
      </c>
      <c r="C47" t="str">
        <f>_xlfn.XLOOKUP(Table6[[#This Row],[Nest]],Model_draft_inc_temp_data!B:B,Model_draft_inc_temp_data!C:C, "No Match")</f>
        <v>CP9214</v>
      </c>
      <c r="D47">
        <f>_xlfn.XLOOKUP(Table6[[#This Row],[Female_ID]],Model_draft_inc_temp_data!C:C,Model_draft_inc_temp_data!E:E,"No Match")</f>
        <v>4</v>
      </c>
      <c r="E47">
        <f>_xlfn.XLOOKUP(Table6[[#This Row],[Nest]],Model_draft_inc_temp_data!B:B,Model_draft_inc_temp_data!H:H, "No Match")</f>
        <v>4</v>
      </c>
      <c r="F47">
        <f>_xlfn.XLOOKUP(Table6[[#This Row],[Nest]],Model_draft_inc_temp_data!B:B,Model_draft_inc_temp_data!J:J, "No Match")</f>
        <v>0</v>
      </c>
      <c r="G47">
        <v>8</v>
      </c>
      <c r="H47" s="11" cm="1">
        <f t="array" ref="H47">_xlfn.XLOOKUP(Table6[[#This Row],[Nest]]&amp;Table6[[#This Row],[Obs_date]],Model_draft_inc_temp_data!B:B&amp;Model_draft_inc_temp_data!M:M,Model_draft_inc_temp_data!F:F, "No Match")</f>
        <v>43770</v>
      </c>
      <c r="I47" s="11" cm="1">
        <f t="array" ref="I47">_xlfn.XLOOKUP(Table6[[#This Row],[Nest]]&amp;Table6[[#This Row],[Obs_date]], Model_draft_inc_temp_data!B:B&amp;Model_draft_inc_temp_data!M:M, Model_draft_inc_temp_data!I:I, "No Match")</f>
        <v>43773</v>
      </c>
      <c r="J47" s="11" cm="1">
        <f t="array" ref="J47">_xlfn.XLOOKUP(Table6[[#This Row],[Nest]]&amp;Table6[[#This Row],[Day_of_inc]],Model_draft_inc_temp_data!B:B&amp;Model_draft_inc_temp_data!O:O,Model_draft_inc_temp_data!M:M, "No Match")</f>
        <v>43781</v>
      </c>
      <c r="K47" s="16" cm="1">
        <f t="array" ref="K47">_xlfn.XLOOKUP(Table6[[#This Row],[Nest]]&amp;Table6[[#This Row],[Obs_date]],Sheet2!B:B&amp;Sheet2!E:E, Sheet2!F:F, "No Match")</f>
        <v>0.42151620370370368</v>
      </c>
      <c r="L47">
        <f>_xlfn.XLOOKUP(Table6[[#This Row],[Obs_date]],'19-20_niwa_temp_data'!B:B,'19-20_niwa_temp_data'!G:G, "No Match")</f>
        <v>14.342245291445828</v>
      </c>
      <c r="M47">
        <f>_xlfn.XLOOKUP(Table6[[#This Row],[Nest]],Model_draft_inc_temp_data!B:B,Model_draft_inc_temp_data!L:L, "No Match")</f>
        <v>14</v>
      </c>
      <c r="N47" s="16">
        <v>1.0810185185185185E-2</v>
      </c>
      <c r="O47">
        <f>Table6[[#This Row],[Total_on_bout_duration]]*86400</f>
        <v>934</v>
      </c>
      <c r="P47" s="16">
        <v>1.6319444444444445E-2</v>
      </c>
      <c r="Q47">
        <v>93</v>
      </c>
      <c r="R47" s="22">
        <f>Table6[[#This Row],[Total_obs_length_minutes]]*60</f>
        <v>5580</v>
      </c>
      <c r="S47">
        <f>Table6[[#This Row],[Total_on_bout_duration_seconds]]/Table6[[#This Row],[Total_obs_length_seconds]]</f>
        <v>0.16738351254480285</v>
      </c>
    </row>
    <row r="48" spans="1:19" x14ac:dyDescent="0.35">
      <c r="A48" t="s">
        <v>9</v>
      </c>
      <c r="B48" t="s">
        <v>17</v>
      </c>
      <c r="C48" t="str">
        <f>_xlfn.XLOOKUP(Table6[[#This Row],[Nest]],Model_draft_inc_temp_data!B:B,Model_draft_inc_temp_data!C:C, "No Match")</f>
        <v>CP9214</v>
      </c>
      <c r="D48">
        <f>_xlfn.XLOOKUP(Table6[[#This Row],[Female_ID]],Model_draft_inc_temp_data!C:C,Model_draft_inc_temp_data!E:E,"No Match")</f>
        <v>4</v>
      </c>
      <c r="E48">
        <f>_xlfn.XLOOKUP(Table6[[#This Row],[Nest]],Model_draft_inc_temp_data!B:B,Model_draft_inc_temp_data!H:H, "No Match")</f>
        <v>4</v>
      </c>
      <c r="F48">
        <f>_xlfn.XLOOKUP(Table6[[#This Row],[Nest]],Model_draft_inc_temp_data!B:B,Model_draft_inc_temp_data!J:J, "No Match")</f>
        <v>0</v>
      </c>
      <c r="G48">
        <v>13</v>
      </c>
      <c r="H48" s="11" cm="1">
        <f t="array" ref="H48">_xlfn.XLOOKUP(Table6[[#This Row],[Nest]]&amp;Table6[[#This Row],[Obs_date]],Model_draft_inc_temp_data!B:B&amp;Model_draft_inc_temp_data!M:M,Model_draft_inc_temp_data!F:F, "No Match")</f>
        <v>43770</v>
      </c>
      <c r="I48" s="11" cm="1">
        <f t="array" ref="I48">_xlfn.XLOOKUP(Table6[[#This Row],[Nest]]&amp;Table6[[#This Row],[Obs_date]], Model_draft_inc_temp_data!B:B&amp;Model_draft_inc_temp_data!M:M, Model_draft_inc_temp_data!I:I, "No Match")</f>
        <v>43773</v>
      </c>
      <c r="J48" s="11" cm="1">
        <f t="array" ref="J48">_xlfn.XLOOKUP(Table6[[#This Row],[Nest]]&amp;Table6[[#This Row],[Day_of_inc]],Model_draft_inc_temp_data!B:B&amp;Model_draft_inc_temp_data!O:O,Model_draft_inc_temp_data!M:M, "No Match")</f>
        <v>43787</v>
      </c>
      <c r="K48" s="16" cm="1">
        <f t="array" ref="K48">_xlfn.XLOOKUP(Table6[[#This Row],[Nest]]&amp;Table6[[#This Row],[Obs_date]],Sheet2!B:B&amp;Sheet2!E:E, Sheet2!F:F, "No Match")</f>
        <v>0.59944444444444445</v>
      </c>
      <c r="L48">
        <f>_xlfn.XLOOKUP(Table6[[#This Row],[Obs_date]],'19-20_niwa_temp_data'!B:B,'19-20_niwa_temp_data'!G:G, "No Match")</f>
        <v>16.814279645586961</v>
      </c>
      <c r="M48">
        <f>_xlfn.XLOOKUP(Table6[[#This Row],[Nest]],Model_draft_inc_temp_data!B:B,Model_draft_inc_temp_data!L:L, "No Match")</f>
        <v>14</v>
      </c>
      <c r="N48" s="16">
        <v>0</v>
      </c>
      <c r="O48">
        <f>Table6[[#This Row],[Total_on_bout_duration]]*86400</f>
        <v>0</v>
      </c>
      <c r="P48" s="16">
        <v>6.7916666666666667E-2</v>
      </c>
      <c r="Q48">
        <v>57</v>
      </c>
      <c r="R48" s="22">
        <f>Table6[[#This Row],[Total_obs_length_minutes]]*60</f>
        <v>3420</v>
      </c>
      <c r="S48">
        <f>Table6[[#This Row],[Total_on_bout_duration_seconds]]/Table6[[#This Row],[Total_obs_length_seconds]]</f>
        <v>0</v>
      </c>
    </row>
    <row r="49" spans="1:19" x14ac:dyDescent="0.35">
      <c r="A49" t="s">
        <v>9</v>
      </c>
      <c r="B49" t="s">
        <v>45</v>
      </c>
      <c r="C49" t="str">
        <f>_xlfn.XLOOKUP(Table6[[#This Row],[Nest]],Model_draft_inc_temp_data!B:B,Model_draft_inc_temp_data!C:C, "No Match")</f>
        <v>CP13445</v>
      </c>
      <c r="D49">
        <f>_xlfn.XLOOKUP(Table6[[#This Row],[Female_ID]],Model_draft_inc_temp_data!C:C,Model_draft_inc_temp_data!E:E,"No Match")</f>
        <v>1</v>
      </c>
      <c r="E49">
        <f>_xlfn.XLOOKUP(Table6[[#This Row],[Nest]],Model_draft_inc_temp_data!B:B,Model_draft_inc_temp_data!H:H, "No Match")</f>
        <v>4</v>
      </c>
      <c r="F49">
        <f>_xlfn.XLOOKUP(Table6[[#This Row],[Nest]],Model_draft_inc_temp_data!B:B,Model_draft_inc_temp_data!J:J, "No Match")</f>
        <v>1</v>
      </c>
      <c r="G49">
        <v>7</v>
      </c>
      <c r="H49" s="11" cm="1">
        <f t="array" ref="H49">_xlfn.XLOOKUP(Table6[[#This Row],[Nest]]&amp;Table6[[#This Row],[Obs_date]],Model_draft_inc_temp_data!B:B&amp;Model_draft_inc_temp_data!M:M,Model_draft_inc_temp_data!F:F, "No Match")</f>
        <v>43780</v>
      </c>
      <c r="I49" s="11" cm="1">
        <f t="array" ref="I49">_xlfn.XLOOKUP(Table6[[#This Row],[Nest]]&amp;Table6[[#This Row],[Obs_date]], Model_draft_inc_temp_data!B:B&amp;Model_draft_inc_temp_data!M:M, Model_draft_inc_temp_data!I:I, "No Match")</f>
        <v>43784</v>
      </c>
      <c r="J49" s="11" cm="1">
        <f t="array" ref="J49">_xlfn.XLOOKUP(Table6[[#This Row],[Nest]]&amp;Table6[[#This Row],[Day_of_inc]],Model_draft_inc_temp_data!B:B&amp;Model_draft_inc_temp_data!O:O,Model_draft_inc_temp_data!M:M, "No Match")</f>
        <v>43791</v>
      </c>
      <c r="K49" s="16" cm="1">
        <f t="array" ref="K49">_xlfn.XLOOKUP(Table6[[#This Row],[Nest]]&amp;Table6[[#This Row],[Obs_date]],Sheet2!B:B&amp;Sheet2!E:E, Sheet2!F:F, "No Match")</f>
        <v>0.40824074074074074</v>
      </c>
      <c r="L49">
        <f>_xlfn.XLOOKUP(Table6[[#This Row],[Obs_date]],'19-20_niwa_temp_data'!B:B,'19-20_niwa_temp_data'!G:G, "No Match")</f>
        <v>14.404166064024672</v>
      </c>
      <c r="M49">
        <f>_xlfn.XLOOKUP(Table6[[#This Row],[Nest]],Model_draft_inc_temp_data!B:B,Model_draft_inc_temp_data!L:L, "No Match")</f>
        <v>14</v>
      </c>
      <c r="N49" s="16">
        <v>5.2777777777777779E-3</v>
      </c>
      <c r="O49">
        <f>Table6[[#This Row],[Total_on_bout_duration]]*86400</f>
        <v>456</v>
      </c>
      <c r="P49" s="16">
        <v>2.7719907407407408E-2</v>
      </c>
      <c r="Q49">
        <v>65</v>
      </c>
      <c r="R49" s="22">
        <f>Table6[[#This Row],[Total_obs_length_minutes]]*60</f>
        <v>3900</v>
      </c>
      <c r="S49">
        <f>Table6[[#This Row],[Total_on_bout_duration_seconds]]/Table6[[#This Row],[Total_obs_length_seconds]]</f>
        <v>0.11692307692307692</v>
      </c>
    </row>
    <row r="50" spans="1:19" x14ac:dyDescent="0.35">
      <c r="A50" t="s">
        <v>9</v>
      </c>
      <c r="B50" t="s">
        <v>45</v>
      </c>
      <c r="C50" t="str">
        <f>_xlfn.XLOOKUP(Table6[[#This Row],[Nest]],Model_draft_inc_temp_data!B:B,Model_draft_inc_temp_data!C:C, "No Match")</f>
        <v>CP13445</v>
      </c>
      <c r="D50">
        <f>_xlfn.XLOOKUP(Table6[[#This Row],[Female_ID]],Model_draft_inc_temp_data!C:C,Model_draft_inc_temp_data!E:E,"No Match")</f>
        <v>1</v>
      </c>
      <c r="E50">
        <f>_xlfn.XLOOKUP(Table6[[#This Row],[Nest]],Model_draft_inc_temp_data!B:B,Model_draft_inc_temp_data!H:H, "No Match")</f>
        <v>4</v>
      </c>
      <c r="F50">
        <f>_xlfn.XLOOKUP(Table6[[#This Row],[Nest]],Model_draft_inc_temp_data!B:B,Model_draft_inc_temp_data!J:J, "No Match")</f>
        <v>1</v>
      </c>
      <c r="G50">
        <v>13</v>
      </c>
      <c r="H50" s="11" cm="1">
        <f t="array" ref="H50">_xlfn.XLOOKUP(Table6[[#This Row],[Nest]]&amp;Table6[[#This Row],[Obs_date]],Model_draft_inc_temp_data!B:B&amp;Model_draft_inc_temp_data!M:M,Model_draft_inc_temp_data!F:F, "No Match")</f>
        <v>43780</v>
      </c>
      <c r="I50" s="11" cm="1">
        <f t="array" ref="I50">_xlfn.XLOOKUP(Table6[[#This Row],[Nest]]&amp;Table6[[#This Row],[Obs_date]], Model_draft_inc_temp_data!B:B&amp;Model_draft_inc_temp_data!M:M, Model_draft_inc_temp_data!I:I, "No Match")</f>
        <v>43784</v>
      </c>
      <c r="J50" s="11" cm="1">
        <f t="array" ref="J50">_xlfn.XLOOKUP(Table6[[#This Row],[Nest]]&amp;Table6[[#This Row],[Day_of_inc]],Model_draft_inc_temp_data!B:B&amp;Model_draft_inc_temp_data!O:O,Model_draft_inc_temp_data!M:M, "No Match")</f>
        <v>43797</v>
      </c>
      <c r="K50" s="16" cm="1">
        <f t="array" ref="K50">_xlfn.XLOOKUP(Table6[[#This Row],[Nest]]&amp;Table6[[#This Row],[Obs_date]],Sheet2!B:B&amp;Sheet2!E:E, Sheet2!F:F, "No Match")</f>
        <v>0.39725694444444443</v>
      </c>
      <c r="L50">
        <f>_xlfn.XLOOKUP(Table6[[#This Row],[Obs_date]],'19-20_niwa_temp_data'!B:B,'19-20_niwa_temp_data'!G:G, "No Match")</f>
        <v>18.119602644649799</v>
      </c>
      <c r="M50">
        <f>_xlfn.XLOOKUP(Table6[[#This Row],[Nest]],Model_draft_inc_temp_data!B:B,Model_draft_inc_temp_data!L:L, "No Match")</f>
        <v>14</v>
      </c>
      <c r="N50" s="16">
        <v>0</v>
      </c>
      <c r="O50">
        <f>Table6[[#This Row],[Total_on_bout_duration]]*86400</f>
        <v>0</v>
      </c>
      <c r="P50" s="16">
        <v>2.2106481481481482E-3</v>
      </c>
      <c r="Q50">
        <v>140</v>
      </c>
      <c r="R50" s="22">
        <f>Table6[[#This Row],[Total_obs_length_minutes]]*60</f>
        <v>8400</v>
      </c>
      <c r="S50">
        <f>Table6[[#This Row],[Total_on_bout_duration_seconds]]/Table6[[#This Row],[Total_obs_length_seconds]]</f>
        <v>0</v>
      </c>
    </row>
    <row r="51" spans="1:19" x14ac:dyDescent="0.35">
      <c r="A51" t="s">
        <v>9</v>
      </c>
      <c r="B51" t="s">
        <v>60</v>
      </c>
      <c r="C51" t="str">
        <f>_xlfn.XLOOKUP(Table6[[#This Row],[Nest]],Model_draft_inc_temp_data!B:B,Model_draft_inc_temp_data!C:C, "No Match")</f>
        <v>CP13527</v>
      </c>
      <c r="D51">
        <f>_xlfn.XLOOKUP(Table6[[#This Row],[Female_ID]],Model_draft_inc_temp_data!C:C,Model_draft_inc_temp_data!E:E,"No Match")</f>
        <v>1</v>
      </c>
      <c r="E51">
        <f>_xlfn.XLOOKUP(Table6[[#This Row],[Nest]],Model_draft_inc_temp_data!B:B,Model_draft_inc_temp_data!H:H, "No Match")</f>
        <v>4</v>
      </c>
      <c r="F51">
        <f>_xlfn.XLOOKUP(Table6[[#This Row],[Nest]],Model_draft_inc_temp_data!B:B,Model_draft_inc_temp_data!J:J, "No Match")</f>
        <v>0</v>
      </c>
      <c r="G51">
        <v>1</v>
      </c>
      <c r="H51" s="11" cm="1">
        <f t="array" ref="H51">_xlfn.XLOOKUP(Table6[[#This Row],[Nest]]&amp;Table6[[#This Row],[Obs_date]],Model_draft_inc_temp_data!B:B&amp;Model_draft_inc_temp_data!M:M,Model_draft_inc_temp_data!F:F, "No Match")</f>
        <v>43793</v>
      </c>
      <c r="I51" s="11" cm="1">
        <f t="array" ref="I51">_xlfn.XLOOKUP(Table6[[#This Row],[Nest]]&amp;Table6[[#This Row],[Obs_date]], Model_draft_inc_temp_data!B:B&amp;Model_draft_inc_temp_data!M:M, Model_draft_inc_temp_data!I:I, "No Match")</f>
        <v>43796</v>
      </c>
      <c r="J51" s="11" cm="1">
        <f t="array" ref="J51">_xlfn.XLOOKUP(Table6[[#This Row],[Nest]]&amp;Table6[[#This Row],[Day_of_inc]],Model_draft_inc_temp_data!B:B&amp;Model_draft_inc_temp_data!O:O,Model_draft_inc_temp_data!M:M, "No Match")</f>
        <v>43797</v>
      </c>
      <c r="K51" s="16" cm="1">
        <f t="array" ref="K51">_xlfn.XLOOKUP(Table6[[#This Row],[Nest]]&amp;Table6[[#This Row],[Obs_date]],Sheet2!B:B&amp;Sheet2!E:E, Sheet2!F:F, "No Match")</f>
        <v>0.49071759259259257</v>
      </c>
      <c r="L51">
        <f>_xlfn.XLOOKUP(Table6[[#This Row],[Obs_date]],'19-20_niwa_temp_data'!B:B,'19-20_niwa_temp_data'!G:G, "No Match")</f>
        <v>18.119602644649799</v>
      </c>
      <c r="M51">
        <f>_xlfn.XLOOKUP(Table6[[#This Row],[Nest]],Model_draft_inc_temp_data!B:B,Model_draft_inc_temp_data!L:L, "No Match")</f>
        <v>14</v>
      </c>
      <c r="N51" s="16">
        <v>5.0578703703703697E-3</v>
      </c>
      <c r="O51">
        <f>Table6[[#This Row],[Total_on_bout_duration]]*86400</f>
        <v>436.99999999999994</v>
      </c>
      <c r="P51" s="16">
        <v>1.8310185185185186E-2</v>
      </c>
      <c r="Q51">
        <v>60</v>
      </c>
      <c r="R51" s="22">
        <f>Table6[[#This Row],[Total_obs_length_minutes]]*60</f>
        <v>3600</v>
      </c>
      <c r="S51">
        <f>Table6[[#This Row],[Total_on_bout_duration_seconds]]/Table6[[#This Row],[Total_obs_length_seconds]]</f>
        <v>0.12138888888888888</v>
      </c>
    </row>
    <row r="52" spans="1:19" x14ac:dyDescent="0.35">
      <c r="A52" t="s">
        <v>9</v>
      </c>
      <c r="B52" t="s">
        <v>60</v>
      </c>
      <c r="C52" t="str">
        <f>_xlfn.XLOOKUP(Table6[[#This Row],[Nest]],Model_draft_inc_temp_data!B:B,Model_draft_inc_temp_data!C:C, "No Match")</f>
        <v>CP13527</v>
      </c>
      <c r="D52">
        <f>_xlfn.XLOOKUP(Table6[[#This Row],[Female_ID]],Model_draft_inc_temp_data!C:C,Model_draft_inc_temp_data!E:E,"No Match")</f>
        <v>1</v>
      </c>
      <c r="E52">
        <f>_xlfn.XLOOKUP(Table6[[#This Row],[Nest]],Model_draft_inc_temp_data!B:B,Model_draft_inc_temp_data!H:H, "No Match")</f>
        <v>4</v>
      </c>
      <c r="F52">
        <f>_xlfn.XLOOKUP(Table6[[#This Row],[Nest]],Model_draft_inc_temp_data!B:B,Model_draft_inc_temp_data!J:J, "No Match")</f>
        <v>0</v>
      </c>
      <c r="G52">
        <v>7</v>
      </c>
      <c r="H52" s="11" cm="1">
        <f t="array" ref="H52">_xlfn.XLOOKUP(Table6[[#This Row],[Nest]]&amp;Table6[[#This Row],[Obs_date]],Model_draft_inc_temp_data!B:B&amp;Model_draft_inc_temp_data!M:M,Model_draft_inc_temp_data!F:F, "No Match")</f>
        <v>43793</v>
      </c>
      <c r="I52" s="11" cm="1">
        <f t="array" ref="I52">_xlfn.XLOOKUP(Table6[[#This Row],[Nest]]&amp;Table6[[#This Row],[Obs_date]], Model_draft_inc_temp_data!B:B&amp;Model_draft_inc_temp_data!M:M, Model_draft_inc_temp_data!I:I, "No Match")</f>
        <v>43796</v>
      </c>
      <c r="J52" s="11" cm="1">
        <f t="array" ref="J52">_xlfn.XLOOKUP(Table6[[#This Row],[Nest]]&amp;Table6[[#This Row],[Day_of_inc]],Model_draft_inc_temp_data!B:B&amp;Model_draft_inc_temp_data!O:O,Model_draft_inc_temp_data!M:M, "No Match")</f>
        <v>43803</v>
      </c>
      <c r="K52" s="16" cm="1">
        <f t="array" ref="K52">_xlfn.XLOOKUP(Table6[[#This Row],[Nest]]&amp;Table6[[#This Row],[Obs_date]],Sheet2!B:B&amp;Sheet2!E:E, Sheet2!F:F, "No Match")</f>
        <v>0.46184027777777775</v>
      </c>
      <c r="L52">
        <f>_xlfn.XLOOKUP(Table6[[#This Row],[Obs_date]],'19-20_niwa_temp_data'!B:B,'19-20_niwa_temp_data'!G:G, "No Match")</f>
        <v>18.059900331950896</v>
      </c>
      <c r="M52">
        <f>_xlfn.XLOOKUP(Table6[[#This Row],[Nest]],Model_draft_inc_temp_data!B:B,Model_draft_inc_temp_data!L:L, "No Match")</f>
        <v>14</v>
      </c>
      <c r="N52" s="16">
        <v>9.2129629629629645E-3</v>
      </c>
      <c r="O52">
        <f>Table6[[#This Row],[Total_on_bout_duration]]*86400</f>
        <v>796.00000000000011</v>
      </c>
      <c r="P52" s="16">
        <v>1.5509259259259259E-2</v>
      </c>
      <c r="Q52">
        <v>82</v>
      </c>
      <c r="R52" s="22">
        <f>Table6[[#This Row],[Total_obs_length_minutes]]*60</f>
        <v>4920</v>
      </c>
      <c r="S52">
        <f>Table6[[#This Row],[Total_on_bout_duration_seconds]]/Table6[[#This Row],[Total_obs_length_seconds]]</f>
        <v>0.16178861788617888</v>
      </c>
    </row>
    <row r="53" spans="1:19" x14ac:dyDescent="0.35">
      <c r="A53" t="s">
        <v>9</v>
      </c>
      <c r="B53" t="s">
        <v>72</v>
      </c>
      <c r="C53" t="str">
        <f>_xlfn.XLOOKUP(Table6[[#This Row],[Nest]],Model_draft_inc_temp_data!B:B,Model_draft_inc_temp_data!C:C, "No Match")</f>
        <v>CP13003</v>
      </c>
      <c r="D53">
        <f>_xlfn.XLOOKUP(Table6[[#This Row],[Female_ID]],Model_draft_inc_temp_data!C:C,Model_draft_inc_temp_data!E:E,"No Match")</f>
        <v>2</v>
      </c>
      <c r="E53">
        <f>_xlfn.XLOOKUP(Table6[[#This Row],[Nest]],Model_draft_inc_temp_data!B:B,Model_draft_inc_temp_data!H:H, "No Match")</f>
        <v>3</v>
      </c>
      <c r="F53" t="str">
        <f>_xlfn.XLOOKUP(Table6[[#This Row],[Nest]],Model_draft_inc_temp_data!B:B,Model_draft_inc_temp_data!J:J, "No Match")</f>
        <v>N/A</v>
      </c>
      <c r="G53">
        <v>1</v>
      </c>
      <c r="H53" s="11" cm="1">
        <f t="array" ref="H53">_xlfn.XLOOKUP(Table6[[#This Row],[Nest]]&amp;Table6[[#This Row],[Obs_date]],Model_draft_inc_temp_data!B:B&amp;Model_draft_inc_temp_data!M:M,Model_draft_inc_temp_data!F:F, "No Match")</f>
        <v>43804</v>
      </c>
      <c r="I53" s="11" cm="1">
        <f t="array" ref="I53">_xlfn.XLOOKUP(Table6[[#This Row],[Nest]]&amp;Table6[[#This Row],[Obs_date]], Model_draft_inc_temp_data!B:B&amp;Model_draft_inc_temp_data!M:M, Model_draft_inc_temp_data!I:I, "No Match")</f>
        <v>43806</v>
      </c>
      <c r="J53" s="11" cm="1">
        <f t="array" ref="J53">_xlfn.XLOOKUP(Table6[[#This Row],[Nest]]&amp;Table6[[#This Row],[Day_of_inc]],Model_draft_inc_temp_data!B:B&amp;Model_draft_inc_temp_data!O:O,Model_draft_inc_temp_data!M:M, "No Match")</f>
        <v>43808</v>
      </c>
      <c r="K53" s="16" cm="1">
        <f t="array" ref="K53">_xlfn.XLOOKUP(Table6[[#This Row],[Nest]]&amp;Table6[[#This Row],[Obs_date]],Sheet2!B:B&amp;Sheet2!E:E, Sheet2!F:F, "No Match")</f>
        <v>0.52593749999999995</v>
      </c>
      <c r="L53">
        <f>_xlfn.XLOOKUP(Table6[[#This Row],[Obs_date]],'19-20_niwa_temp_data'!B:B,'19-20_niwa_temp_data'!G:G, "No Match")</f>
        <v>17.951044537853498</v>
      </c>
      <c r="M53">
        <f>_xlfn.XLOOKUP(Table6[[#This Row],[Nest]],Model_draft_inc_temp_data!B:B,Model_draft_inc_temp_data!L:L, "No Match")</f>
        <v>15</v>
      </c>
      <c r="N53" s="16">
        <v>3.2974537037037031E-2</v>
      </c>
      <c r="O53">
        <f>Table6[[#This Row],[Total_on_bout_duration]]*86400</f>
        <v>2848.9999999999995</v>
      </c>
      <c r="P53" s="16">
        <v>2.4513888888888887E-2</v>
      </c>
      <c r="Q53">
        <v>67</v>
      </c>
      <c r="R53" s="22">
        <f>Table6[[#This Row],[Total_obs_length_minutes]]*60</f>
        <v>4020</v>
      </c>
      <c r="S53">
        <f>Table6[[#This Row],[Total_on_bout_duration_seconds]]/Table6[[#This Row],[Total_obs_length_seconds]]</f>
        <v>0.70870646766169143</v>
      </c>
    </row>
    <row r="54" spans="1:19" x14ac:dyDescent="0.35">
      <c r="A54" t="s">
        <v>9</v>
      </c>
      <c r="B54" t="s">
        <v>65</v>
      </c>
      <c r="C54" t="str">
        <f>_xlfn.XLOOKUP(Table6[[#This Row],[Nest]],Model_draft_inc_temp_data!B:B,Model_draft_inc_temp_data!C:C, "No Match")</f>
        <v>CP9232</v>
      </c>
      <c r="D54">
        <f>_xlfn.XLOOKUP(Table6[[#This Row],[Female_ID]],Model_draft_inc_temp_data!C:C,Model_draft_inc_temp_data!E:E,"No Match")</f>
        <v>4</v>
      </c>
      <c r="E54">
        <f>_xlfn.XLOOKUP(Table6[[#This Row],[Nest]],Model_draft_inc_temp_data!B:B,Model_draft_inc_temp_data!H:H, "No Match")</f>
        <v>4</v>
      </c>
      <c r="F54">
        <f>_xlfn.XLOOKUP(Table6[[#This Row],[Nest]],Model_draft_inc_temp_data!B:B,Model_draft_inc_temp_data!J:J, "No Match")</f>
        <v>0</v>
      </c>
      <c r="G54">
        <v>2</v>
      </c>
      <c r="H54" s="11" cm="1">
        <f t="array" ref="H54">_xlfn.XLOOKUP(Table6[[#This Row],[Nest]]&amp;Table6[[#This Row],[Obs_date]],Model_draft_inc_temp_data!B:B&amp;Model_draft_inc_temp_data!M:M,Model_draft_inc_temp_data!F:F, "No Match")</f>
        <v>43798</v>
      </c>
      <c r="I54" s="11" cm="1">
        <f t="array" ref="I54">_xlfn.XLOOKUP(Table6[[#This Row],[Nest]]&amp;Table6[[#This Row],[Obs_date]], Model_draft_inc_temp_data!B:B&amp;Model_draft_inc_temp_data!M:M, Model_draft_inc_temp_data!I:I, "No Match")</f>
        <v>43801</v>
      </c>
      <c r="J54" s="11" cm="1">
        <f t="array" ref="J54">_xlfn.XLOOKUP(Table6[[#This Row],[Nest]]&amp;Table6[[#This Row],[Day_of_inc]],Model_draft_inc_temp_data!B:B&amp;Model_draft_inc_temp_data!O:O,Model_draft_inc_temp_data!M:M, "No Match")</f>
        <v>43803</v>
      </c>
      <c r="K54" s="16" cm="1">
        <f t="array" ref="K54">_xlfn.XLOOKUP(Table6[[#This Row],[Nest]]&amp;Table6[[#This Row],[Obs_date]],Sheet2!B:B&amp;Sheet2!E:E, Sheet2!F:F, "No Match")</f>
        <v>0.58296296296296302</v>
      </c>
      <c r="L54">
        <f>_xlfn.XLOOKUP(Table6[[#This Row],[Obs_date]],'19-20_niwa_temp_data'!B:B,'19-20_niwa_temp_data'!G:G, "No Match")</f>
        <v>18.059900331950896</v>
      </c>
      <c r="M54">
        <f>_xlfn.XLOOKUP(Table6[[#This Row],[Nest]],Model_draft_inc_temp_data!B:B,Model_draft_inc_temp_data!L:L, "No Match")</f>
        <v>15</v>
      </c>
      <c r="N54" s="16">
        <v>2.5694444444444445E-3</v>
      </c>
      <c r="O54">
        <f>Table6[[#This Row],[Total_on_bout_duration]]*86400</f>
        <v>222</v>
      </c>
      <c r="P54" s="16">
        <v>2.2013888888888888E-2</v>
      </c>
      <c r="Q54">
        <v>85</v>
      </c>
      <c r="R54" s="22">
        <f>Table6[[#This Row],[Total_obs_length_minutes]]*60</f>
        <v>5100</v>
      </c>
      <c r="S54">
        <f>Table6[[#This Row],[Total_on_bout_duration_seconds]]/Table6[[#This Row],[Total_obs_length_seconds]]</f>
        <v>4.3529411764705879E-2</v>
      </c>
    </row>
    <row r="55" spans="1:19" x14ac:dyDescent="0.35">
      <c r="A55" t="s">
        <v>9</v>
      </c>
      <c r="B55" t="s">
        <v>65</v>
      </c>
      <c r="C55" t="str">
        <f>_xlfn.XLOOKUP(Table6[[#This Row],[Nest]],Model_draft_inc_temp_data!B:B,Model_draft_inc_temp_data!C:C, "No Match")</f>
        <v>CP9232</v>
      </c>
      <c r="D55">
        <f>_xlfn.XLOOKUP(Table6[[#This Row],[Female_ID]],Model_draft_inc_temp_data!C:C,Model_draft_inc_temp_data!E:E,"No Match")</f>
        <v>4</v>
      </c>
      <c r="E55">
        <f>_xlfn.XLOOKUP(Table6[[#This Row],[Nest]],Model_draft_inc_temp_data!B:B,Model_draft_inc_temp_data!H:H, "No Match")</f>
        <v>4</v>
      </c>
      <c r="F55">
        <f>_xlfn.XLOOKUP(Table6[[#This Row],[Nest]],Model_draft_inc_temp_data!B:B,Model_draft_inc_temp_data!J:J, "No Match")</f>
        <v>0</v>
      </c>
      <c r="G55">
        <v>7</v>
      </c>
      <c r="H55" s="11" cm="1">
        <f t="array" ref="H55">_xlfn.XLOOKUP(Table6[[#This Row],[Nest]]&amp;Table6[[#This Row],[Obs_date]],Model_draft_inc_temp_data!B:B&amp;Model_draft_inc_temp_data!M:M,Model_draft_inc_temp_data!F:F, "No Match")</f>
        <v>43798</v>
      </c>
      <c r="I55" s="11" cm="1">
        <f t="array" ref="I55">_xlfn.XLOOKUP(Table6[[#This Row],[Nest]]&amp;Table6[[#This Row],[Obs_date]], Model_draft_inc_temp_data!B:B&amp;Model_draft_inc_temp_data!M:M, Model_draft_inc_temp_data!I:I, "No Match")</f>
        <v>43801</v>
      </c>
      <c r="J55" s="11" cm="1">
        <f t="array" ref="J55">_xlfn.XLOOKUP(Table6[[#This Row],[Nest]]&amp;Table6[[#This Row],[Day_of_inc]],Model_draft_inc_temp_data!B:B&amp;Model_draft_inc_temp_data!O:O,Model_draft_inc_temp_data!M:M, "No Match")</f>
        <v>43808</v>
      </c>
      <c r="K55" s="16" cm="1">
        <f t="array" ref="K55">_xlfn.XLOOKUP(Table6[[#This Row],[Nest]]&amp;Table6[[#This Row],[Obs_date]],Sheet2!B:B&amp;Sheet2!E:E, Sheet2!F:F, "No Match")</f>
        <v>0.48358796296296297</v>
      </c>
      <c r="L55">
        <f>_xlfn.XLOOKUP(Table6[[#This Row],[Obs_date]],'19-20_niwa_temp_data'!B:B,'19-20_niwa_temp_data'!G:G, "No Match")</f>
        <v>17.951044537853498</v>
      </c>
      <c r="M55">
        <f>_xlfn.XLOOKUP(Table6[[#This Row],[Nest]],Model_draft_inc_temp_data!B:B,Model_draft_inc_temp_data!L:L, "No Match")</f>
        <v>15</v>
      </c>
      <c r="N55" s="16">
        <v>4.6412037037037038E-3</v>
      </c>
      <c r="O55">
        <f>Table6[[#This Row],[Total_on_bout_duration]]*86400</f>
        <v>401</v>
      </c>
      <c r="P55" s="16">
        <v>1.5972222222222223E-3</v>
      </c>
      <c r="Q55">
        <v>73</v>
      </c>
      <c r="R55" s="22">
        <f>Table6[[#This Row],[Total_obs_length_minutes]]*60</f>
        <v>4380</v>
      </c>
      <c r="S55">
        <f>Table6[[#This Row],[Total_on_bout_duration_seconds]]/Table6[[#This Row],[Total_obs_length_seconds]]</f>
        <v>9.1552511415525117E-2</v>
      </c>
    </row>
    <row r="56" spans="1:19" x14ac:dyDescent="0.35">
      <c r="A56" t="s">
        <v>9</v>
      </c>
      <c r="B56" t="s">
        <v>22</v>
      </c>
      <c r="C56" t="str">
        <f>_xlfn.XLOOKUP(Table6[[#This Row],[Nest]],Model_draft_inc_temp_data!B:B,Model_draft_inc_temp_data!C:C, "No Match")</f>
        <v>CP11802</v>
      </c>
      <c r="D56">
        <f>_xlfn.XLOOKUP(Table6[[#This Row],[Female_ID]],Model_draft_inc_temp_data!C:C,Model_draft_inc_temp_data!E:E,"No Match")</f>
        <v>3</v>
      </c>
      <c r="E56">
        <f>_xlfn.XLOOKUP(Table6[[#This Row],[Nest]],Model_draft_inc_temp_data!B:B,Model_draft_inc_temp_data!H:H, "No Match")</f>
        <v>4</v>
      </c>
      <c r="F56">
        <f>_xlfn.XLOOKUP(Table6[[#This Row],[Nest]],Model_draft_inc_temp_data!B:B,Model_draft_inc_temp_data!J:J, "No Match")</f>
        <v>0</v>
      </c>
      <c r="G56">
        <v>1</v>
      </c>
      <c r="H56" s="11" cm="1">
        <f t="array" ref="H56">_xlfn.XLOOKUP(Table6[[#This Row],[Nest]]&amp;Table6[[#This Row],[Obs_date]],Model_draft_inc_temp_data!B:B&amp;Model_draft_inc_temp_data!M:M,Model_draft_inc_temp_data!F:F, "No Match")</f>
        <v>43773</v>
      </c>
      <c r="I56" s="11" cm="1">
        <f t="array" ref="I56">_xlfn.XLOOKUP(Table6[[#This Row],[Nest]]&amp;Table6[[#This Row],[Obs_date]], Model_draft_inc_temp_data!B:B&amp;Model_draft_inc_temp_data!M:M, Model_draft_inc_temp_data!I:I, "No Match")</f>
        <v>43776</v>
      </c>
      <c r="J56" s="11" cm="1">
        <f t="array" ref="J56">_xlfn.XLOOKUP(Table6[[#This Row],[Nest]]&amp;Table6[[#This Row],[Day_of_inc]],Model_draft_inc_temp_data!B:B&amp;Model_draft_inc_temp_data!O:O,Model_draft_inc_temp_data!M:M, "No Match")</f>
        <v>43777</v>
      </c>
      <c r="K56" s="16" cm="1">
        <f t="array" ref="K56">_xlfn.XLOOKUP(Table6[[#This Row],[Nest]]&amp;Table6[[#This Row],[Obs_date]],Sheet2!B:B&amp;Sheet2!E:E, Sheet2!F:F, "No Match")</f>
        <v>0.56180555555555556</v>
      </c>
      <c r="L56">
        <f>_xlfn.XLOOKUP(Table6[[#This Row],[Obs_date]],'19-20_niwa_temp_data'!B:B,'19-20_niwa_temp_data'!G:G, "No Match")</f>
        <v>16.736785832411194</v>
      </c>
      <c r="M56">
        <f>_xlfn.XLOOKUP(Table6[[#This Row],[Nest]],Model_draft_inc_temp_data!B:B,Model_draft_inc_temp_data!L:L, "No Match")</f>
        <v>15</v>
      </c>
      <c r="N56" s="16">
        <v>2.9293981481481483E-2</v>
      </c>
      <c r="O56">
        <f>Table6[[#This Row],[Total_on_bout_duration]]*86400</f>
        <v>2531</v>
      </c>
      <c r="P56" s="16">
        <v>7.0752314814814823E-2</v>
      </c>
      <c r="Q56">
        <v>149.43333329999999</v>
      </c>
      <c r="R56" s="22">
        <f>Table6[[#This Row],[Total_obs_length_minutes]]*60</f>
        <v>8965.9999979999993</v>
      </c>
      <c r="S56">
        <f>Table6[[#This Row],[Total_on_bout_duration_seconds]]/Table6[[#This Row],[Total_obs_length_seconds]]</f>
        <v>0.28228864605895354</v>
      </c>
    </row>
    <row r="57" spans="1:19" x14ac:dyDescent="0.35">
      <c r="A57" t="s">
        <v>9</v>
      </c>
      <c r="B57" t="s">
        <v>22</v>
      </c>
      <c r="C57" t="str">
        <f>_xlfn.XLOOKUP(Table6[[#This Row],[Nest]],Model_draft_inc_temp_data!B:B,Model_draft_inc_temp_data!C:C, "No Match")</f>
        <v>CP11802</v>
      </c>
      <c r="D57">
        <f>_xlfn.XLOOKUP(Table6[[#This Row],[Female_ID]],Model_draft_inc_temp_data!C:C,Model_draft_inc_temp_data!E:E,"No Match")</f>
        <v>3</v>
      </c>
      <c r="E57">
        <f>_xlfn.XLOOKUP(Table6[[#This Row],[Nest]],Model_draft_inc_temp_data!B:B,Model_draft_inc_temp_data!H:H, "No Match")</f>
        <v>4</v>
      </c>
      <c r="F57">
        <f>_xlfn.XLOOKUP(Table6[[#This Row],[Nest]],Model_draft_inc_temp_data!B:B,Model_draft_inc_temp_data!J:J, "No Match")</f>
        <v>0</v>
      </c>
      <c r="G57">
        <v>2</v>
      </c>
      <c r="H57" s="11" cm="1">
        <f t="array" ref="H57">_xlfn.XLOOKUP(Table6[[#This Row],[Nest]]&amp;Table6[[#This Row],[Obs_date]],Model_draft_inc_temp_data!B:B&amp;Model_draft_inc_temp_data!M:M,Model_draft_inc_temp_data!F:F, "No Match")</f>
        <v>43773</v>
      </c>
      <c r="I57" s="11" cm="1">
        <f t="array" ref="I57">_xlfn.XLOOKUP(Table6[[#This Row],[Nest]]&amp;Table6[[#This Row],[Obs_date]], Model_draft_inc_temp_data!B:B&amp;Model_draft_inc_temp_data!M:M, Model_draft_inc_temp_data!I:I, "No Match")</f>
        <v>43776</v>
      </c>
      <c r="J57" s="11" cm="1">
        <f t="array" ref="J57">_xlfn.XLOOKUP(Table6[[#This Row],[Nest]]&amp;Table6[[#This Row],[Day_of_inc]],Model_draft_inc_temp_data!B:B&amp;Model_draft_inc_temp_data!O:O,Model_draft_inc_temp_data!M:M, "No Match")</f>
        <v>43777</v>
      </c>
      <c r="K57" s="16" cm="1">
        <f t="array" ref="K57">_xlfn.XLOOKUP(Table6[[#This Row],[Nest]]&amp;Table6[[#This Row],[Obs_date]],Sheet2!B:B&amp;Sheet2!E:E, Sheet2!F:F, "No Match")</f>
        <v>0.56180555555555556</v>
      </c>
      <c r="L57">
        <f>_xlfn.XLOOKUP(Table6[[#This Row],[Obs_date]],'19-20_niwa_temp_data'!B:B,'19-20_niwa_temp_data'!G:G, "No Match")</f>
        <v>16.736785832411194</v>
      </c>
      <c r="M57">
        <f>_xlfn.XLOOKUP(Table6[[#This Row],[Nest]],Model_draft_inc_temp_data!B:B,Model_draft_inc_temp_data!L:L, "No Match")</f>
        <v>15</v>
      </c>
      <c r="N57" s="16">
        <v>7.4074074074074056E-2</v>
      </c>
      <c r="O57">
        <f>Table6[[#This Row],[Total_on_bout_duration]]*86400</f>
        <v>6399.9999999999982</v>
      </c>
      <c r="P57" s="16">
        <v>2.3136574074074077E-2</v>
      </c>
      <c r="Q57">
        <v>149.43333329999999</v>
      </c>
      <c r="R57" s="22">
        <f>Table6[[#This Row],[Total_obs_length_minutes]]*60</f>
        <v>8965.9999979999993</v>
      </c>
      <c r="S57">
        <f>Table6[[#This Row],[Total_on_bout_duration_seconds]]/Table6[[#This Row],[Total_obs_length_seconds]]</f>
        <v>0.71380771820517663</v>
      </c>
    </row>
    <row r="58" spans="1:19" x14ac:dyDescent="0.35">
      <c r="A58" t="s">
        <v>9</v>
      </c>
      <c r="B58" t="s">
        <v>22</v>
      </c>
      <c r="C58" t="str">
        <f>_xlfn.XLOOKUP(Table6[[#This Row],[Nest]],Model_draft_inc_temp_data!B:B,Model_draft_inc_temp_data!C:C, "No Match")</f>
        <v>CP11802</v>
      </c>
      <c r="D58">
        <f>_xlfn.XLOOKUP(Table6[[#This Row],[Female_ID]],Model_draft_inc_temp_data!C:C,Model_draft_inc_temp_data!E:E,"No Match")</f>
        <v>3</v>
      </c>
      <c r="E58">
        <f>_xlfn.XLOOKUP(Table6[[#This Row],[Nest]],Model_draft_inc_temp_data!B:B,Model_draft_inc_temp_data!H:H, "No Match")</f>
        <v>4</v>
      </c>
      <c r="F58">
        <f>_xlfn.XLOOKUP(Table6[[#This Row],[Nest]],Model_draft_inc_temp_data!B:B,Model_draft_inc_temp_data!J:J, "No Match")</f>
        <v>0</v>
      </c>
      <c r="G58">
        <v>7</v>
      </c>
      <c r="H58" s="11" cm="1">
        <f t="array" ref="H58">_xlfn.XLOOKUP(Table6[[#This Row],[Nest]]&amp;Table6[[#This Row],[Obs_date]],Model_draft_inc_temp_data!B:B&amp;Model_draft_inc_temp_data!M:M,Model_draft_inc_temp_data!F:F, "No Match")</f>
        <v>43773</v>
      </c>
      <c r="I58" s="11" cm="1">
        <f t="array" ref="I58">_xlfn.XLOOKUP(Table6[[#This Row],[Nest]]&amp;Table6[[#This Row],[Obs_date]], Model_draft_inc_temp_data!B:B&amp;Model_draft_inc_temp_data!M:M, Model_draft_inc_temp_data!I:I, "No Match")</f>
        <v>43776</v>
      </c>
      <c r="J58" s="11" cm="1">
        <f t="array" ref="J58">_xlfn.XLOOKUP(Table6[[#This Row],[Nest]]&amp;Table6[[#This Row],[Day_of_inc]],Model_draft_inc_temp_data!B:B&amp;Model_draft_inc_temp_data!O:O,Model_draft_inc_temp_data!M:M, "No Match")</f>
        <v>43783</v>
      </c>
      <c r="K58" s="16" cm="1">
        <f t="array" ref="K58">_xlfn.XLOOKUP(Table6[[#This Row],[Nest]]&amp;Table6[[#This Row],[Obs_date]],Sheet2!B:B&amp;Sheet2!E:E, Sheet2!F:F, "No Match")</f>
        <v>0.43936342592592592</v>
      </c>
      <c r="L58">
        <f>_xlfn.XLOOKUP(Table6[[#This Row],[Obs_date]],'19-20_niwa_temp_data'!B:B,'19-20_niwa_temp_data'!G:G, "No Match")</f>
        <v>16.095962226595837</v>
      </c>
      <c r="M58">
        <f>_xlfn.XLOOKUP(Table6[[#This Row],[Nest]],Model_draft_inc_temp_data!B:B,Model_draft_inc_temp_data!L:L, "No Match")</f>
        <v>15</v>
      </c>
      <c r="N58" s="16">
        <v>2.6562499999999996E-2</v>
      </c>
      <c r="O58">
        <f>Table6[[#This Row],[Total_on_bout_duration]]*86400</f>
        <v>2294.9999999999995</v>
      </c>
      <c r="P58" s="16">
        <v>1.6469907407407405E-2</v>
      </c>
      <c r="Q58">
        <v>59</v>
      </c>
      <c r="R58" s="22">
        <f>Table6[[#This Row],[Total_obs_length_minutes]]*60</f>
        <v>3540</v>
      </c>
      <c r="S58">
        <f>Table6[[#This Row],[Total_on_bout_duration_seconds]]/Table6[[#This Row],[Total_obs_length_seconds]]</f>
        <v>0.64830508474576254</v>
      </c>
    </row>
    <row r="59" spans="1:19" x14ac:dyDescent="0.35">
      <c r="A59" t="s">
        <v>9</v>
      </c>
      <c r="B59" t="s">
        <v>22</v>
      </c>
      <c r="C59" t="str">
        <f>_xlfn.XLOOKUP(Table6[[#This Row],[Nest]],Model_draft_inc_temp_data!B:B,Model_draft_inc_temp_data!C:C, "No Match")</f>
        <v>CP11802</v>
      </c>
      <c r="D59">
        <f>_xlfn.XLOOKUP(Table6[[#This Row],[Female_ID]],Model_draft_inc_temp_data!C:C,Model_draft_inc_temp_data!E:E,"No Match")</f>
        <v>3</v>
      </c>
      <c r="E59">
        <f>_xlfn.XLOOKUP(Table6[[#This Row],[Nest]],Model_draft_inc_temp_data!B:B,Model_draft_inc_temp_data!H:H, "No Match")</f>
        <v>4</v>
      </c>
      <c r="F59">
        <f>_xlfn.XLOOKUP(Table6[[#This Row],[Nest]],Model_draft_inc_temp_data!B:B,Model_draft_inc_temp_data!J:J, "No Match")</f>
        <v>0</v>
      </c>
      <c r="G59">
        <v>13</v>
      </c>
      <c r="H59" s="11" cm="1">
        <f t="array" ref="H59">_xlfn.XLOOKUP(Table6[[#This Row],[Nest]]&amp;Table6[[#This Row],[Obs_date]],Model_draft_inc_temp_data!B:B&amp;Model_draft_inc_temp_data!M:M,Model_draft_inc_temp_data!F:F, "No Match")</f>
        <v>43773</v>
      </c>
      <c r="I59" s="11" cm="1">
        <f t="array" ref="I59">_xlfn.XLOOKUP(Table6[[#This Row],[Nest]]&amp;Table6[[#This Row],[Obs_date]], Model_draft_inc_temp_data!B:B&amp;Model_draft_inc_temp_data!M:M, Model_draft_inc_temp_data!I:I, "No Match")</f>
        <v>43776</v>
      </c>
      <c r="J59" s="11" cm="1">
        <f t="array" ref="J59">_xlfn.XLOOKUP(Table6[[#This Row],[Nest]]&amp;Table6[[#This Row],[Day_of_inc]],Model_draft_inc_temp_data!B:B&amp;Model_draft_inc_temp_data!O:O,Model_draft_inc_temp_data!M:M, "No Match")</f>
        <v>43789</v>
      </c>
      <c r="K59" s="16" cm="1">
        <f t="array" ref="K59">_xlfn.XLOOKUP(Table6[[#This Row],[Nest]]&amp;Table6[[#This Row],[Obs_date]],Sheet2!B:B&amp;Sheet2!E:E, Sheet2!F:F, "No Match")</f>
        <v>0.52638888888888891</v>
      </c>
      <c r="L59">
        <f>_xlfn.XLOOKUP(Table6[[#This Row],[Obs_date]],'19-20_niwa_temp_data'!B:B,'19-20_niwa_temp_data'!G:G, "No Match")</f>
        <v>13.516656391282572</v>
      </c>
      <c r="M59">
        <f>_xlfn.XLOOKUP(Table6[[#This Row],[Nest]],Model_draft_inc_temp_data!B:B,Model_draft_inc_temp_data!L:L, "No Match")</f>
        <v>15</v>
      </c>
      <c r="N59" s="16">
        <v>0</v>
      </c>
      <c r="O59">
        <f>Table6[[#This Row],[Total_on_bout_duration]]*86400</f>
        <v>0</v>
      </c>
      <c r="P59" s="16">
        <v>7.3148148148148148E-3</v>
      </c>
      <c r="Q59">
        <v>70</v>
      </c>
      <c r="R59" s="22">
        <f>Table6[[#This Row],[Total_obs_length_minutes]]*60</f>
        <v>4200</v>
      </c>
      <c r="S59">
        <f>Table6[[#This Row],[Total_on_bout_duration_seconds]]/Table6[[#This Row],[Total_obs_length_seconds]]</f>
        <v>0</v>
      </c>
    </row>
    <row r="60" spans="1:19" x14ac:dyDescent="0.35">
      <c r="A60" t="s">
        <v>9</v>
      </c>
      <c r="B60" t="s">
        <v>44</v>
      </c>
      <c r="C60" t="str">
        <f>_xlfn.XLOOKUP(Table6[[#This Row],[Nest]],Model_draft_inc_temp_data!B:B,Model_draft_inc_temp_data!C:C, "No Match")</f>
        <v>CP12981</v>
      </c>
      <c r="D60">
        <f>_xlfn.XLOOKUP(Table6[[#This Row],[Female_ID]],Model_draft_inc_temp_data!C:C,Model_draft_inc_temp_data!E:E,"No Match")</f>
        <v>2</v>
      </c>
      <c r="E60">
        <f>_xlfn.XLOOKUP(Table6[[#This Row],[Nest]],Model_draft_inc_temp_data!B:B,Model_draft_inc_temp_data!H:H, "No Match")</f>
        <v>4</v>
      </c>
      <c r="F60">
        <f>_xlfn.XLOOKUP(Table6[[#This Row],[Nest]],Model_draft_inc_temp_data!B:B,Model_draft_inc_temp_data!J:J, "No Match")</f>
        <v>0</v>
      </c>
      <c r="G60">
        <v>7</v>
      </c>
      <c r="H60" s="11" cm="1">
        <f t="array" ref="H60">_xlfn.XLOOKUP(Table6[[#This Row],[Nest]]&amp;Table6[[#This Row],[Obs_date]],Model_draft_inc_temp_data!B:B&amp;Model_draft_inc_temp_data!M:M,Model_draft_inc_temp_data!F:F, "No Match")</f>
        <v>43780</v>
      </c>
      <c r="I60" s="11" cm="1">
        <f t="array" ref="I60">_xlfn.XLOOKUP(Table6[[#This Row],[Nest]]&amp;Table6[[#This Row],[Obs_date]], Model_draft_inc_temp_data!B:B&amp;Model_draft_inc_temp_data!M:M, Model_draft_inc_temp_data!I:I, "No Match")</f>
        <v>43783</v>
      </c>
      <c r="J60" s="11" cm="1">
        <f t="array" ref="J60">_xlfn.XLOOKUP(Table6[[#This Row],[Nest]]&amp;Table6[[#This Row],[Day_of_inc]],Model_draft_inc_temp_data!B:B&amp;Model_draft_inc_temp_data!O:O,Model_draft_inc_temp_data!M:M, "No Match")</f>
        <v>43790</v>
      </c>
      <c r="K60" s="16" cm="1">
        <f t="array" ref="K60">_xlfn.XLOOKUP(Table6[[#This Row],[Nest]]&amp;Table6[[#This Row],[Obs_date]],Sheet2!B:B&amp;Sheet2!E:E, Sheet2!F:F, "No Match")</f>
        <v>0.62609953703703702</v>
      </c>
      <c r="L60">
        <f>_xlfn.XLOOKUP(Table6[[#This Row],[Obs_date]],'19-20_niwa_temp_data'!B:B,'19-20_niwa_temp_data'!G:G, "No Match")</f>
        <v>16.25176913446656</v>
      </c>
      <c r="M60">
        <f>_xlfn.XLOOKUP(Table6[[#This Row],[Nest]],Model_draft_inc_temp_data!B:B,Model_draft_inc_temp_data!L:L, "No Match")</f>
        <v>15</v>
      </c>
      <c r="N60" s="16">
        <v>2.3182870370370375E-2</v>
      </c>
      <c r="O60">
        <f>Table6[[#This Row],[Total_on_bout_duration]]*86400</f>
        <v>2003.0000000000005</v>
      </c>
      <c r="P60" s="16">
        <v>6.3541666666666668E-3</v>
      </c>
      <c r="Q60">
        <v>42.533333333333339</v>
      </c>
      <c r="R60" s="22">
        <f>Table6[[#This Row],[Total_obs_length_minutes]]*60</f>
        <v>2552.0000000000005</v>
      </c>
      <c r="S60">
        <f>Table6[[#This Row],[Total_on_bout_duration_seconds]]/Table6[[#This Row],[Total_obs_length_seconds]]</f>
        <v>0.78487460815047028</v>
      </c>
    </row>
    <row r="61" spans="1:19" x14ac:dyDescent="0.35">
      <c r="A61" t="s">
        <v>9</v>
      </c>
      <c r="B61" t="s">
        <v>44</v>
      </c>
      <c r="C61" t="str">
        <f>_xlfn.XLOOKUP(Table6[[#This Row],[Nest]],Model_draft_inc_temp_data!B:B,Model_draft_inc_temp_data!C:C, "No Match")</f>
        <v>CP12981</v>
      </c>
      <c r="D61">
        <f>_xlfn.XLOOKUP(Table6[[#This Row],[Female_ID]],Model_draft_inc_temp_data!C:C,Model_draft_inc_temp_data!E:E,"No Match")</f>
        <v>2</v>
      </c>
      <c r="E61">
        <f>_xlfn.XLOOKUP(Table6[[#This Row],[Nest]],Model_draft_inc_temp_data!B:B,Model_draft_inc_temp_data!H:H, "No Match")</f>
        <v>4</v>
      </c>
      <c r="F61">
        <f>_xlfn.XLOOKUP(Table6[[#This Row],[Nest]],Model_draft_inc_temp_data!B:B,Model_draft_inc_temp_data!J:J, "No Match")</f>
        <v>0</v>
      </c>
      <c r="G61">
        <v>13</v>
      </c>
      <c r="H61" s="11" cm="1">
        <f t="array" ref="H61">_xlfn.XLOOKUP(Table6[[#This Row],[Nest]]&amp;Table6[[#This Row],[Obs_date]],Model_draft_inc_temp_data!B:B&amp;Model_draft_inc_temp_data!M:M,Model_draft_inc_temp_data!F:F, "No Match")</f>
        <v>43780</v>
      </c>
      <c r="I61" s="11" cm="1">
        <f t="array" ref="I61">_xlfn.XLOOKUP(Table6[[#This Row],[Nest]]&amp;Table6[[#This Row],[Obs_date]], Model_draft_inc_temp_data!B:B&amp;Model_draft_inc_temp_data!M:M, Model_draft_inc_temp_data!I:I, "No Match")</f>
        <v>43783</v>
      </c>
      <c r="J61" s="11" cm="1">
        <f t="array" ref="J61">_xlfn.XLOOKUP(Table6[[#This Row],[Nest]]&amp;Table6[[#This Row],[Day_of_inc]],Model_draft_inc_temp_data!B:B&amp;Model_draft_inc_temp_data!O:O,Model_draft_inc_temp_data!M:M, "No Match")</f>
        <v>43796</v>
      </c>
      <c r="K61" s="16" cm="1">
        <f t="array" ref="K61">_xlfn.XLOOKUP(Table6[[#This Row],[Nest]]&amp;Table6[[#This Row],[Obs_date]],Sheet2!B:B&amp;Sheet2!E:E, Sheet2!F:F, "No Match")</f>
        <v>0.45939814814814817</v>
      </c>
      <c r="L61">
        <f>_xlfn.XLOOKUP(Table6[[#This Row],[Obs_date]],'19-20_niwa_temp_data'!B:B,'19-20_niwa_temp_data'!G:G, "No Match")</f>
        <v>17.287857010051884</v>
      </c>
      <c r="M61">
        <f>_xlfn.XLOOKUP(Table6[[#This Row],[Nest]],Model_draft_inc_temp_data!B:B,Model_draft_inc_temp_data!L:L, "No Match")</f>
        <v>15</v>
      </c>
      <c r="N61" s="16">
        <v>1.4375000000000001E-2</v>
      </c>
      <c r="O61">
        <f>Table6[[#This Row],[Total_on_bout_duration]]*86400</f>
        <v>1242</v>
      </c>
      <c r="P61" s="16">
        <v>1.511574074074074E-2</v>
      </c>
      <c r="Q61">
        <v>61</v>
      </c>
      <c r="R61" s="22">
        <f>Table6[[#This Row],[Total_obs_length_minutes]]*60</f>
        <v>3660</v>
      </c>
      <c r="S61">
        <f>Table6[[#This Row],[Total_on_bout_duration_seconds]]/Table6[[#This Row],[Total_obs_length_seconds]]</f>
        <v>0.33934426229508197</v>
      </c>
    </row>
    <row r="62" spans="1:19" x14ac:dyDescent="0.35">
      <c r="A62" t="s">
        <v>9</v>
      </c>
      <c r="B62" t="s">
        <v>14</v>
      </c>
      <c r="C62" t="str">
        <f>_xlfn.XLOOKUP(Table6[[#This Row],[Nest]],Model_draft_inc_temp_data!B:B,Model_draft_inc_temp_data!C:C, "No Match")</f>
        <v>CP11865</v>
      </c>
      <c r="D62">
        <f>_xlfn.XLOOKUP(Table6[[#This Row],[Female_ID]],Model_draft_inc_temp_data!C:C,Model_draft_inc_temp_data!E:E,"No Match")</f>
        <v>3</v>
      </c>
      <c r="E62">
        <f>_xlfn.XLOOKUP(Table6[[#This Row],[Nest]],Model_draft_inc_temp_data!B:B,Model_draft_inc_temp_data!H:H, "No Match")</f>
        <v>3</v>
      </c>
      <c r="F62">
        <f>_xlfn.XLOOKUP(Table6[[#This Row],[Nest]],Model_draft_inc_temp_data!B:B,Model_draft_inc_temp_data!J:J, "No Match")</f>
        <v>1</v>
      </c>
      <c r="G62">
        <v>1</v>
      </c>
      <c r="H62" s="11" cm="1">
        <f t="array" ref="H62">_xlfn.XLOOKUP(Table6[[#This Row],[Nest]]&amp;Table6[[#This Row],[Obs_date]],Model_draft_inc_temp_data!B:B&amp;Model_draft_inc_temp_data!M:M,Model_draft_inc_temp_data!F:F, "No Match")</f>
        <v>43770</v>
      </c>
      <c r="I62" s="11" cm="1">
        <f t="array" ref="I62">_xlfn.XLOOKUP(Table6[[#This Row],[Nest]]&amp;Table6[[#This Row],[Obs_date]], Model_draft_inc_temp_data!B:B&amp;Model_draft_inc_temp_data!M:M, Model_draft_inc_temp_data!I:I, "No Match")</f>
        <v>43773</v>
      </c>
      <c r="J62" s="11" cm="1">
        <f t="array" ref="J62">_xlfn.XLOOKUP(Table6[[#This Row],[Nest]]&amp;Table6[[#This Row],[Day_of_inc]],Model_draft_inc_temp_data!B:B&amp;Model_draft_inc_temp_data!O:O,Model_draft_inc_temp_data!M:M, "No Match")</f>
        <v>43775</v>
      </c>
      <c r="K62" s="16" cm="1">
        <f t="array" ref="K62">_xlfn.XLOOKUP(Table6[[#This Row],[Nest]]&amp;Table6[[#This Row],[Obs_date]],Sheet2!B:B&amp;Sheet2!E:E, Sheet2!F:F, "No Match")</f>
        <v>0.67222222222222228</v>
      </c>
      <c r="L62">
        <f>_xlfn.XLOOKUP(Table6[[#This Row],[Obs_date]],'19-20_niwa_temp_data'!B:B,'19-20_niwa_temp_data'!G:G, "No Match")</f>
        <v>16.742759629165079</v>
      </c>
      <c r="M62">
        <f>_xlfn.XLOOKUP(Table6[[#This Row],[Nest]],Model_draft_inc_temp_data!B:B,Model_draft_inc_temp_data!L:L, "No Match")</f>
        <v>15</v>
      </c>
      <c r="N62" s="16">
        <v>1.1261574074074073E-2</v>
      </c>
      <c r="O62">
        <f>Table6[[#This Row],[Total_on_bout_duration]]*86400</f>
        <v>972.99999999999989</v>
      </c>
      <c r="P62" s="16">
        <v>1.2581018518518519E-2</v>
      </c>
      <c r="Q62">
        <v>64</v>
      </c>
      <c r="R62" s="22">
        <f>Table6[[#This Row],[Total_obs_length_minutes]]*60</f>
        <v>3840</v>
      </c>
      <c r="S62">
        <f>Table6[[#This Row],[Total_on_bout_duration_seconds]]/Table6[[#This Row],[Total_obs_length_seconds]]</f>
        <v>0.25338541666666664</v>
      </c>
    </row>
    <row r="63" spans="1:19" x14ac:dyDescent="0.35">
      <c r="A63" t="s">
        <v>9</v>
      </c>
      <c r="B63" t="s">
        <v>14</v>
      </c>
      <c r="C63" t="str">
        <f>_xlfn.XLOOKUP(Table6[[#This Row],[Nest]],Model_draft_inc_temp_data!B:B,Model_draft_inc_temp_data!C:C, "No Match")</f>
        <v>CP11865</v>
      </c>
      <c r="D63">
        <f>_xlfn.XLOOKUP(Table6[[#This Row],[Female_ID]],Model_draft_inc_temp_data!C:C,Model_draft_inc_temp_data!E:E,"No Match")</f>
        <v>3</v>
      </c>
      <c r="E63">
        <f>_xlfn.XLOOKUP(Table6[[#This Row],[Nest]],Model_draft_inc_temp_data!B:B,Model_draft_inc_temp_data!H:H, "No Match")</f>
        <v>3</v>
      </c>
      <c r="F63">
        <f>_xlfn.XLOOKUP(Table6[[#This Row],[Nest]],Model_draft_inc_temp_data!B:B,Model_draft_inc_temp_data!J:J, "No Match")</f>
        <v>1</v>
      </c>
      <c r="G63">
        <v>7</v>
      </c>
      <c r="H63" s="11" cm="1">
        <f t="array" ref="H63">_xlfn.XLOOKUP(Table6[[#This Row],[Nest]]&amp;Table6[[#This Row],[Obs_date]],Model_draft_inc_temp_data!B:B&amp;Model_draft_inc_temp_data!M:M,Model_draft_inc_temp_data!F:F, "No Match")</f>
        <v>43770</v>
      </c>
      <c r="I63" s="11" cm="1">
        <f t="array" ref="I63">_xlfn.XLOOKUP(Table6[[#This Row],[Nest]]&amp;Table6[[#This Row],[Obs_date]], Model_draft_inc_temp_data!B:B&amp;Model_draft_inc_temp_data!M:M, Model_draft_inc_temp_data!I:I, "No Match")</f>
        <v>43773</v>
      </c>
      <c r="J63" s="11" cm="1">
        <f t="array" ref="J63">_xlfn.XLOOKUP(Table6[[#This Row],[Nest]]&amp;Table6[[#This Row],[Day_of_inc]],Model_draft_inc_temp_data!B:B&amp;Model_draft_inc_temp_data!O:O,Model_draft_inc_temp_data!M:M, "No Match")</f>
        <v>43780</v>
      </c>
      <c r="K63" s="16" cm="1">
        <f t="array" ref="K63">_xlfn.XLOOKUP(Table6[[#This Row],[Nest]]&amp;Table6[[#This Row],[Obs_date]],Sheet2!B:B&amp;Sheet2!E:E, Sheet2!F:F, "No Match")</f>
        <v>0.46074074074074073</v>
      </c>
      <c r="L63">
        <f>_xlfn.XLOOKUP(Table6[[#This Row],[Obs_date]],'19-20_niwa_temp_data'!B:B,'19-20_niwa_temp_data'!G:G, "No Match")</f>
        <v>15.469970911414153</v>
      </c>
      <c r="M63">
        <f>_xlfn.XLOOKUP(Table6[[#This Row],[Nest]],Model_draft_inc_temp_data!B:B,Model_draft_inc_temp_data!L:L, "No Match")</f>
        <v>15</v>
      </c>
      <c r="N63" s="16">
        <v>6.053240740740741E-3</v>
      </c>
      <c r="O63">
        <f>Table6[[#This Row],[Total_on_bout_duration]]*86400</f>
        <v>523</v>
      </c>
      <c r="P63" s="16">
        <v>1.0150462962962964E-2</v>
      </c>
      <c r="Q63">
        <v>60.55</v>
      </c>
      <c r="R63" s="22">
        <f>Table6[[#This Row],[Total_obs_length_minutes]]*60</f>
        <v>3633</v>
      </c>
      <c r="S63">
        <f>Table6[[#This Row],[Total_on_bout_duration_seconds]]/Table6[[#This Row],[Total_obs_length_seconds]]</f>
        <v>0.14395816129920175</v>
      </c>
    </row>
    <row r="64" spans="1:19" x14ac:dyDescent="0.35">
      <c r="A64" t="s">
        <v>9</v>
      </c>
      <c r="B64" t="s">
        <v>14</v>
      </c>
      <c r="C64" t="str">
        <f>_xlfn.XLOOKUP(Table6[[#This Row],[Nest]],Model_draft_inc_temp_data!B:B,Model_draft_inc_temp_data!C:C, "No Match")</f>
        <v>CP11865</v>
      </c>
      <c r="D64">
        <f>_xlfn.XLOOKUP(Table6[[#This Row],[Female_ID]],Model_draft_inc_temp_data!C:C,Model_draft_inc_temp_data!E:E,"No Match")</f>
        <v>3</v>
      </c>
      <c r="E64">
        <f>_xlfn.XLOOKUP(Table6[[#This Row],[Nest]],Model_draft_inc_temp_data!B:B,Model_draft_inc_temp_data!H:H, "No Match")</f>
        <v>3</v>
      </c>
      <c r="F64">
        <f>_xlfn.XLOOKUP(Table6[[#This Row],[Nest]],Model_draft_inc_temp_data!B:B,Model_draft_inc_temp_data!J:J, "No Match")</f>
        <v>1</v>
      </c>
      <c r="G64">
        <v>13</v>
      </c>
      <c r="H64" s="11" cm="1">
        <f t="array" ref="H64">_xlfn.XLOOKUP(Table6[[#This Row],[Nest]]&amp;Table6[[#This Row],[Obs_date]],Model_draft_inc_temp_data!B:B&amp;Model_draft_inc_temp_data!M:M,Model_draft_inc_temp_data!F:F, "No Match")</f>
        <v>43770</v>
      </c>
      <c r="I64" s="11" cm="1">
        <f t="array" ref="I64">_xlfn.XLOOKUP(Table6[[#This Row],[Nest]]&amp;Table6[[#This Row],[Obs_date]], Model_draft_inc_temp_data!B:B&amp;Model_draft_inc_temp_data!M:M, Model_draft_inc_temp_data!I:I, "No Match")</f>
        <v>43773</v>
      </c>
      <c r="J64" s="11" cm="1">
        <f t="array" ref="J64">_xlfn.XLOOKUP(Table6[[#This Row],[Nest]]&amp;Table6[[#This Row],[Day_of_inc]],Model_draft_inc_temp_data!B:B&amp;Model_draft_inc_temp_data!O:O,Model_draft_inc_temp_data!M:M, "No Match")</f>
        <v>43786</v>
      </c>
      <c r="K64" s="16" cm="1">
        <f t="array" ref="K64">_xlfn.XLOOKUP(Table6[[#This Row],[Nest]]&amp;Table6[[#This Row],[Obs_date]],Sheet2!B:B&amp;Sheet2!E:E, Sheet2!F:F, "No Match")</f>
        <v>0.6</v>
      </c>
      <c r="L64">
        <f>_xlfn.XLOOKUP(Table6[[#This Row],[Obs_date]],'19-20_niwa_temp_data'!B:B,'19-20_niwa_temp_data'!G:G, "No Match")</f>
        <v>15.768322675541617</v>
      </c>
      <c r="M64">
        <f>_xlfn.XLOOKUP(Table6[[#This Row],[Nest]],Model_draft_inc_temp_data!B:B,Model_draft_inc_temp_data!L:L, "No Match")</f>
        <v>15</v>
      </c>
      <c r="N64" s="16">
        <v>0</v>
      </c>
      <c r="O64">
        <f>Table6[[#This Row],[Total_on_bout_duration]]*86400</f>
        <v>0</v>
      </c>
      <c r="P64" s="16">
        <v>3.472222222222222E-3</v>
      </c>
      <c r="Q64">
        <v>11</v>
      </c>
      <c r="R64" s="22">
        <f>Table6[[#This Row],[Total_obs_length_minutes]]*60</f>
        <v>660</v>
      </c>
      <c r="S64">
        <f>Table6[[#This Row],[Total_on_bout_duration_seconds]]/Table6[[#This Row],[Total_obs_length_seconds]]</f>
        <v>0</v>
      </c>
    </row>
    <row r="65" spans="1:19" x14ac:dyDescent="0.35">
      <c r="A65" t="s">
        <v>9</v>
      </c>
      <c r="B65" t="s">
        <v>27</v>
      </c>
      <c r="C65" t="str">
        <f>_xlfn.XLOOKUP(Table6[[#This Row],[Nest]],Model_draft_inc_temp_data!B:B,Model_draft_inc_temp_data!C:C, "No Match")</f>
        <v>CP8183</v>
      </c>
      <c r="D65">
        <f>_xlfn.XLOOKUP(Table6[[#This Row],[Female_ID]],Model_draft_inc_temp_data!C:C,Model_draft_inc_temp_data!E:E,"No Match")</f>
        <v>5</v>
      </c>
      <c r="E65">
        <f>_xlfn.XLOOKUP(Table6[[#This Row],[Nest]],Model_draft_inc_temp_data!B:B,Model_draft_inc_temp_data!H:H, "No Match")</f>
        <v>4</v>
      </c>
      <c r="F65">
        <f>_xlfn.XLOOKUP(Table6[[#This Row],[Nest]],Model_draft_inc_temp_data!B:B,Model_draft_inc_temp_data!J:J, "No Match")</f>
        <v>0</v>
      </c>
      <c r="G65">
        <v>13</v>
      </c>
      <c r="H65" s="11" cm="1">
        <f t="array" ref="H65">_xlfn.XLOOKUP(Table6[[#This Row],[Nest]]&amp;Table6[[#This Row],[Obs_date]],Model_draft_inc_temp_data!B:B&amp;Model_draft_inc_temp_data!M:M,Model_draft_inc_temp_data!F:F, "No Match")</f>
        <v>43774</v>
      </c>
      <c r="I65" s="11" cm="1">
        <f t="array" ref="I65">_xlfn.XLOOKUP(Table6[[#This Row],[Nest]]&amp;Table6[[#This Row],[Obs_date]], Model_draft_inc_temp_data!B:B&amp;Model_draft_inc_temp_data!M:M, Model_draft_inc_temp_data!I:I, "No Match")</f>
        <v>43777</v>
      </c>
      <c r="J65" s="11" cm="1">
        <f t="array" ref="J65">_xlfn.XLOOKUP(Table6[[#This Row],[Nest]]&amp;Table6[[#This Row],[Day_of_inc]],Model_draft_inc_temp_data!B:B&amp;Model_draft_inc_temp_data!O:O,Model_draft_inc_temp_data!M:M, "No Match")</f>
        <v>43790</v>
      </c>
      <c r="K65" s="16" cm="1">
        <f t="array" ref="K65">_xlfn.XLOOKUP(Table6[[#This Row],[Nest]]&amp;Table6[[#This Row],[Obs_date]],Sheet2!B:B&amp;Sheet2!E:E, Sheet2!F:F, "No Match")</f>
        <v>0.69170138888888888</v>
      </c>
      <c r="L65">
        <f>_xlfn.XLOOKUP(Table6[[#This Row],[Obs_date]],'19-20_niwa_temp_data'!B:B,'19-20_niwa_temp_data'!G:G, "No Match")</f>
        <v>16.25176913446656</v>
      </c>
      <c r="M65">
        <f>_xlfn.XLOOKUP(Table6[[#This Row],[Nest]],Model_draft_inc_temp_data!B:B,Model_draft_inc_temp_data!L:L, "No Match")</f>
        <v>14</v>
      </c>
      <c r="N65" s="16">
        <v>6.0416666666666665E-3</v>
      </c>
      <c r="O65">
        <f>Table6[[#This Row],[Total_on_bout_duration]]*86400</f>
        <v>522</v>
      </c>
      <c r="P65" s="16">
        <v>7.5000000000000006E-3</v>
      </c>
      <c r="Q65">
        <v>61</v>
      </c>
      <c r="R65" s="22">
        <f>Table6[[#This Row],[Total_obs_length_minutes]]*60</f>
        <v>3660</v>
      </c>
      <c r="S65">
        <f>Table6[[#This Row],[Total_on_bout_duration_seconds]]/Table6[[#This Row],[Total_obs_length_seconds]]</f>
        <v>0.14262295081967213</v>
      </c>
    </row>
    <row r="66" spans="1:19" x14ac:dyDescent="0.35">
      <c r="A66" t="s">
        <v>9</v>
      </c>
      <c r="B66" t="s">
        <v>56</v>
      </c>
      <c r="C66" t="str">
        <f>_xlfn.XLOOKUP(Table6[[#This Row],[Nest]],Model_draft_inc_temp_data!B:B,Model_draft_inc_temp_data!C:C, "No Match")</f>
        <v>CP13417</v>
      </c>
      <c r="D66">
        <f>_xlfn.XLOOKUP(Table6[[#This Row],[Female_ID]],Model_draft_inc_temp_data!C:C,Model_draft_inc_temp_data!E:E,"No Match")</f>
        <v>1</v>
      </c>
      <c r="E66">
        <f>_xlfn.XLOOKUP(Table6[[#This Row],[Nest]],Model_draft_inc_temp_data!B:B,Model_draft_inc_temp_data!H:H, "No Match")</f>
        <v>4</v>
      </c>
      <c r="F66">
        <f>_xlfn.XLOOKUP(Table6[[#This Row],[Nest]],Model_draft_inc_temp_data!B:B,Model_draft_inc_temp_data!J:J, "No Match")</f>
        <v>0</v>
      </c>
      <c r="G66">
        <v>1</v>
      </c>
      <c r="H66" s="11" cm="1">
        <f t="array" ref="H66">_xlfn.XLOOKUP(Table6[[#This Row],[Nest]]&amp;Table6[[#This Row],[Obs_date]],Model_draft_inc_temp_data!B:B&amp;Model_draft_inc_temp_data!M:M,Model_draft_inc_temp_data!F:F, "No Match")</f>
        <v>43790</v>
      </c>
      <c r="I66" s="11" cm="1">
        <f t="array" ref="I66">_xlfn.XLOOKUP(Table6[[#This Row],[Nest]]&amp;Table6[[#This Row],[Obs_date]], Model_draft_inc_temp_data!B:B&amp;Model_draft_inc_temp_data!M:M, Model_draft_inc_temp_data!I:I, "No Match")</f>
        <v>43794</v>
      </c>
      <c r="J66" s="11" cm="1">
        <f t="array" ref="J66">_xlfn.XLOOKUP(Table6[[#This Row],[Nest]]&amp;Table6[[#This Row],[Day_of_inc]],Model_draft_inc_temp_data!B:B&amp;Model_draft_inc_temp_data!O:O,Model_draft_inc_temp_data!M:M, "No Match")</f>
        <v>43795</v>
      </c>
      <c r="K66" s="16" cm="1">
        <f t="array" ref="K66">_xlfn.XLOOKUP(Table6[[#This Row],[Nest]]&amp;Table6[[#This Row],[Obs_date]],Sheet2!B:B&amp;Sheet2!E:E, Sheet2!F:F, "No Match")</f>
        <v>0.57357638888888884</v>
      </c>
      <c r="L66">
        <f>_xlfn.XLOOKUP(Table6[[#This Row],[Obs_date]],'19-20_niwa_temp_data'!B:B,'19-20_niwa_temp_data'!G:G, "No Match")</f>
        <v>16.664933243190625</v>
      </c>
      <c r="M66">
        <f>_xlfn.XLOOKUP(Table6[[#This Row],[Nest]],Model_draft_inc_temp_data!B:B,Model_draft_inc_temp_data!L:L, "No Match")</f>
        <v>14</v>
      </c>
      <c r="N66" s="16">
        <v>0</v>
      </c>
      <c r="O66">
        <f>Table6[[#This Row],[Total_on_bout_duration]]*86400</f>
        <v>0</v>
      </c>
      <c r="P66" s="16">
        <v>3.1712962962962962E-3</v>
      </c>
      <c r="Q66">
        <v>33.516666669999999</v>
      </c>
      <c r="R66" s="22">
        <f>Table6[[#This Row],[Total_obs_length_minutes]]*60</f>
        <v>2011.0000001999999</v>
      </c>
      <c r="S66">
        <f>Table6[[#This Row],[Total_on_bout_duration_seconds]]/Table6[[#This Row],[Total_obs_length_seconds]]</f>
        <v>0</v>
      </c>
    </row>
    <row r="67" spans="1:19" x14ac:dyDescent="0.35">
      <c r="A67" t="s">
        <v>9</v>
      </c>
      <c r="B67" t="s">
        <v>12</v>
      </c>
      <c r="C67" t="str">
        <f>_xlfn.XLOOKUP(Table6[[#This Row],[Nest]],Model_draft_inc_temp_data!B:B,Model_draft_inc_temp_data!C:C, "No Match")</f>
        <v>CP9223</v>
      </c>
      <c r="D67">
        <f>_xlfn.XLOOKUP(Table6[[#This Row],[Female_ID]],Model_draft_inc_temp_data!C:C,Model_draft_inc_temp_data!E:E,"No Match")</f>
        <v>4</v>
      </c>
      <c r="E67">
        <f>_xlfn.XLOOKUP(Table6[[#This Row],[Nest]],Model_draft_inc_temp_data!B:B,Model_draft_inc_temp_data!H:H, "No Match")</f>
        <v>4</v>
      </c>
      <c r="F67">
        <f>_xlfn.XLOOKUP(Table6[[#This Row],[Nest]],Model_draft_inc_temp_data!B:B,Model_draft_inc_temp_data!J:J, "No Match")</f>
        <v>0</v>
      </c>
      <c r="G67">
        <v>3</v>
      </c>
      <c r="H67" s="11" cm="1">
        <f t="array" ref="H67">_xlfn.XLOOKUP(Table6[[#This Row],[Nest]]&amp;Table6[[#This Row],[Obs_date]],Model_draft_inc_temp_data!B:B&amp;Model_draft_inc_temp_data!M:M,Model_draft_inc_temp_data!F:F, "No Match")</f>
        <v>43766</v>
      </c>
      <c r="I67" s="11" cm="1">
        <f t="array" ref="I67">_xlfn.XLOOKUP(Table6[[#This Row],[Nest]]&amp;Table6[[#This Row],[Obs_date]], Model_draft_inc_temp_data!B:B&amp;Model_draft_inc_temp_data!M:M, Model_draft_inc_temp_data!I:I, "No Match")</f>
        <v>43769</v>
      </c>
      <c r="J67" s="11" cm="1">
        <f t="array" ref="J67">_xlfn.XLOOKUP(Table6[[#This Row],[Nest]]&amp;Table6[[#This Row],[Day_of_inc]],Model_draft_inc_temp_data!B:B&amp;Model_draft_inc_temp_data!O:O,Model_draft_inc_temp_data!M:M, "No Match")</f>
        <v>43771</v>
      </c>
      <c r="K67" s="16" cm="1">
        <f t="array" ref="K67">_xlfn.XLOOKUP(Table6[[#This Row],[Nest]]&amp;Table6[[#This Row],[Obs_date]],Sheet2!B:B&amp;Sheet2!E:E, Sheet2!F:F, "No Match")</f>
        <v>0.52222222222222225</v>
      </c>
      <c r="L67">
        <f>_xlfn.XLOOKUP(Table6[[#This Row],[Obs_date]],'19-20_niwa_temp_data'!B:B,'19-20_niwa_temp_data'!G:G, "No Match")</f>
        <v>13.655768012089251</v>
      </c>
      <c r="M67">
        <f>_xlfn.XLOOKUP(Table6[[#This Row],[Nest]],Model_draft_inc_temp_data!B:B,Model_draft_inc_temp_data!L:L, "No Match")</f>
        <v>14</v>
      </c>
      <c r="N67" s="16">
        <v>9.8842592592592593E-3</v>
      </c>
      <c r="O67">
        <f>Table6[[#This Row],[Total_on_bout_duration]]*86400</f>
        <v>854</v>
      </c>
      <c r="P67" s="16">
        <v>1.0983796296296297E-2</v>
      </c>
      <c r="Q67">
        <v>70.8</v>
      </c>
      <c r="R67" s="22">
        <f>Table6[[#This Row],[Total_obs_length_minutes]]*60</f>
        <v>4248</v>
      </c>
      <c r="S67">
        <f>Table6[[#This Row],[Total_on_bout_duration_seconds]]/Table6[[#This Row],[Total_obs_length_seconds]]</f>
        <v>0.20103578154425611</v>
      </c>
    </row>
    <row r="68" spans="1:19" x14ac:dyDescent="0.35">
      <c r="A68" t="s">
        <v>9</v>
      </c>
      <c r="B68" t="s">
        <v>12</v>
      </c>
      <c r="C68" t="str">
        <f>_xlfn.XLOOKUP(Table6[[#This Row],[Nest]],Model_draft_inc_temp_data!B:B,Model_draft_inc_temp_data!C:C, "No Match")</f>
        <v>CP9223</v>
      </c>
      <c r="D68">
        <f>_xlfn.XLOOKUP(Table6[[#This Row],[Female_ID]],Model_draft_inc_temp_data!C:C,Model_draft_inc_temp_data!E:E,"No Match")</f>
        <v>4</v>
      </c>
      <c r="E68">
        <f>_xlfn.XLOOKUP(Table6[[#This Row],[Nest]],Model_draft_inc_temp_data!B:B,Model_draft_inc_temp_data!H:H, "No Match")</f>
        <v>4</v>
      </c>
      <c r="F68">
        <f>_xlfn.XLOOKUP(Table6[[#This Row],[Nest]],Model_draft_inc_temp_data!B:B,Model_draft_inc_temp_data!J:J, "No Match")</f>
        <v>0</v>
      </c>
      <c r="G68">
        <v>7</v>
      </c>
      <c r="H68" s="11" cm="1">
        <f t="array" ref="H68">_xlfn.XLOOKUP(Table6[[#This Row],[Nest]]&amp;Table6[[#This Row],[Obs_date]],Model_draft_inc_temp_data!B:B&amp;Model_draft_inc_temp_data!M:M,Model_draft_inc_temp_data!F:F, "No Match")</f>
        <v>43766</v>
      </c>
      <c r="I68" s="11" cm="1">
        <f t="array" ref="I68">_xlfn.XLOOKUP(Table6[[#This Row],[Nest]]&amp;Table6[[#This Row],[Obs_date]], Model_draft_inc_temp_data!B:B&amp;Model_draft_inc_temp_data!M:M, Model_draft_inc_temp_data!I:I, "No Match")</f>
        <v>43769</v>
      </c>
      <c r="J68" s="11" cm="1">
        <f t="array" ref="J68">_xlfn.XLOOKUP(Table6[[#This Row],[Nest]]&amp;Table6[[#This Row],[Day_of_inc]],Model_draft_inc_temp_data!B:B&amp;Model_draft_inc_temp_data!O:O,Model_draft_inc_temp_data!M:M, "No Match")</f>
        <v>43776</v>
      </c>
      <c r="K68" s="16" cm="1">
        <f t="array" ref="K68">_xlfn.XLOOKUP(Table6[[#This Row],[Nest]]&amp;Table6[[#This Row],[Obs_date]],Sheet2!B:B&amp;Sheet2!E:E, Sheet2!F:F, "No Match")</f>
        <v>0.46296296296296297</v>
      </c>
      <c r="L68">
        <f>_xlfn.XLOOKUP(Table6[[#This Row],[Obs_date]],'19-20_niwa_temp_data'!B:B,'19-20_niwa_temp_data'!G:G, "No Match")</f>
        <v>17.675972391922318</v>
      </c>
      <c r="M68">
        <f>_xlfn.XLOOKUP(Table6[[#This Row],[Nest]],Model_draft_inc_temp_data!B:B,Model_draft_inc_temp_data!L:L, "No Match")</f>
        <v>14</v>
      </c>
      <c r="N68" s="16">
        <v>2.6030092592592591E-2</v>
      </c>
      <c r="O68">
        <f>Table6[[#This Row],[Total_on_bout_duration]]*86400</f>
        <v>2249</v>
      </c>
      <c r="P68" s="16">
        <v>2.9861111111111113E-2</v>
      </c>
      <c r="Q68">
        <v>64</v>
      </c>
      <c r="R68" s="22">
        <f>Table6[[#This Row],[Total_obs_length_minutes]]*60</f>
        <v>3840</v>
      </c>
      <c r="S68">
        <f>Table6[[#This Row],[Total_on_bout_duration_seconds]]/Table6[[#This Row],[Total_obs_length_seconds]]</f>
        <v>0.58567708333333335</v>
      </c>
    </row>
    <row r="69" spans="1:19" x14ac:dyDescent="0.35">
      <c r="A69" t="s">
        <v>9</v>
      </c>
      <c r="B69" t="s">
        <v>12</v>
      </c>
      <c r="C69" t="str">
        <f>_xlfn.XLOOKUP(Table6[[#This Row],[Nest]],Model_draft_inc_temp_data!B:B,Model_draft_inc_temp_data!C:C, "No Match")</f>
        <v>CP9223</v>
      </c>
      <c r="D69">
        <f>_xlfn.XLOOKUP(Table6[[#This Row],[Female_ID]],Model_draft_inc_temp_data!C:C,Model_draft_inc_temp_data!E:E,"No Match")</f>
        <v>4</v>
      </c>
      <c r="E69">
        <f>_xlfn.XLOOKUP(Table6[[#This Row],[Nest]],Model_draft_inc_temp_data!B:B,Model_draft_inc_temp_data!H:H, "No Match")</f>
        <v>4</v>
      </c>
      <c r="F69">
        <f>_xlfn.XLOOKUP(Table6[[#This Row],[Nest]],Model_draft_inc_temp_data!B:B,Model_draft_inc_temp_data!J:J, "No Match")</f>
        <v>0</v>
      </c>
      <c r="G69">
        <v>13</v>
      </c>
      <c r="H69" s="11" cm="1">
        <f t="array" ref="H69">_xlfn.XLOOKUP(Table6[[#This Row],[Nest]]&amp;Table6[[#This Row],[Obs_date]],Model_draft_inc_temp_data!B:B&amp;Model_draft_inc_temp_data!M:M,Model_draft_inc_temp_data!F:F, "No Match")</f>
        <v>43766</v>
      </c>
      <c r="I69" s="11" cm="1">
        <f t="array" ref="I69">_xlfn.XLOOKUP(Table6[[#This Row],[Nest]]&amp;Table6[[#This Row],[Obs_date]], Model_draft_inc_temp_data!B:B&amp;Model_draft_inc_temp_data!M:M, Model_draft_inc_temp_data!I:I, "No Match")</f>
        <v>43769</v>
      </c>
      <c r="J69" s="11" cm="1">
        <f t="array" ref="J69">_xlfn.XLOOKUP(Table6[[#This Row],[Nest]]&amp;Table6[[#This Row],[Day_of_inc]],Model_draft_inc_temp_data!B:B&amp;Model_draft_inc_temp_data!O:O,Model_draft_inc_temp_data!M:M, "No Match")</f>
        <v>43782</v>
      </c>
      <c r="K69" s="16" cm="1">
        <f t="array" ref="K69">_xlfn.XLOOKUP(Table6[[#This Row],[Nest]]&amp;Table6[[#This Row],[Obs_date]],Sheet2!B:B&amp;Sheet2!E:E, Sheet2!F:F, "No Match")</f>
        <v>0.44444444444444442</v>
      </c>
      <c r="L69">
        <f>_xlfn.XLOOKUP(Table6[[#This Row],[Obs_date]],'19-20_niwa_temp_data'!B:B,'19-20_niwa_temp_data'!G:G, "No Match")</f>
        <v>11.944873377311289</v>
      </c>
      <c r="M69">
        <f>_xlfn.XLOOKUP(Table6[[#This Row],[Nest]],Model_draft_inc_temp_data!B:B,Model_draft_inc_temp_data!L:L, "No Match")</f>
        <v>14</v>
      </c>
      <c r="N69" s="16">
        <v>5.0578703703703706E-3</v>
      </c>
      <c r="O69">
        <f>Table6[[#This Row],[Total_on_bout_duration]]*86400</f>
        <v>437</v>
      </c>
      <c r="P69" s="16">
        <v>7.2106481481481483E-3</v>
      </c>
      <c r="Q69">
        <v>59.916666669999998</v>
      </c>
      <c r="R69" s="22">
        <f>Table6[[#This Row],[Total_obs_length_minutes]]*60</f>
        <v>3595.0000001999997</v>
      </c>
      <c r="S69">
        <f>Table6[[#This Row],[Total_on_bout_duration_seconds]]/Table6[[#This Row],[Total_obs_length_seconds]]</f>
        <v>0.12155771904747942</v>
      </c>
    </row>
    <row r="70" spans="1:19" x14ac:dyDescent="0.35">
      <c r="A70" t="s">
        <v>9</v>
      </c>
      <c r="B70" t="s">
        <v>67</v>
      </c>
      <c r="C70" t="str">
        <f>_xlfn.XLOOKUP(Table6[[#This Row],[Nest]],Model_draft_inc_temp_data!B:B,Model_draft_inc_temp_data!C:C, "No Match")</f>
        <v>CP12972</v>
      </c>
      <c r="D70">
        <f>_xlfn.XLOOKUP(Table6[[#This Row],[Female_ID]],Model_draft_inc_temp_data!C:C,Model_draft_inc_temp_data!E:E,"No Match")</f>
        <v>2</v>
      </c>
      <c r="E70">
        <f>_xlfn.XLOOKUP(Table6[[#This Row],[Nest]],Model_draft_inc_temp_data!B:B,Model_draft_inc_temp_data!H:H, "No Match")</f>
        <v>4</v>
      </c>
      <c r="F70">
        <f>_xlfn.XLOOKUP(Table6[[#This Row],[Nest]],Model_draft_inc_temp_data!B:B,Model_draft_inc_temp_data!J:J, "No Match")</f>
        <v>0</v>
      </c>
      <c r="G70">
        <v>1</v>
      </c>
      <c r="H70" s="11" cm="1">
        <f t="array" ref="H70">_xlfn.XLOOKUP(Table6[[#This Row],[Nest]]&amp;Table6[[#This Row],[Obs_date]],Model_draft_inc_temp_data!B:B&amp;Model_draft_inc_temp_data!M:M,Model_draft_inc_temp_data!F:F, "No Match")</f>
        <v>43801</v>
      </c>
      <c r="I70" s="11" cm="1">
        <f t="array" ref="I70">_xlfn.XLOOKUP(Table6[[#This Row],[Nest]]&amp;Table6[[#This Row],[Obs_date]], Model_draft_inc_temp_data!B:B&amp;Model_draft_inc_temp_data!M:M, Model_draft_inc_temp_data!I:I, "No Match")</f>
        <v>43804</v>
      </c>
      <c r="J70" s="11" cm="1">
        <f t="array" ref="J70">_xlfn.XLOOKUP(Table6[[#This Row],[Nest]]&amp;Table6[[#This Row],[Day_of_inc]],Model_draft_inc_temp_data!B:B&amp;Model_draft_inc_temp_data!O:O,Model_draft_inc_temp_data!M:M, "No Match")</f>
        <v>43805</v>
      </c>
      <c r="K70" s="16" cm="1">
        <f t="array" ref="K70">_xlfn.XLOOKUP(Table6[[#This Row],[Nest]]&amp;Table6[[#This Row],[Obs_date]],Sheet2!B:B&amp;Sheet2!E:E, Sheet2!F:F, "No Match")</f>
        <v>0.71472222222222226</v>
      </c>
      <c r="L70">
        <f>_xlfn.XLOOKUP(Table6[[#This Row],[Obs_date]],'19-20_niwa_temp_data'!B:B,'19-20_niwa_temp_data'!G:G, "No Match")</f>
        <v>17.764852940567788</v>
      </c>
      <c r="M70">
        <f>_xlfn.XLOOKUP(Table6[[#This Row],[Nest]],Model_draft_inc_temp_data!B:B,Model_draft_inc_temp_data!L:L, "No Match")</f>
        <v>14</v>
      </c>
      <c r="N70" s="16">
        <v>0</v>
      </c>
      <c r="O70">
        <f>Table6[[#This Row],[Total_on_bout_duration]]*86400</f>
        <v>0</v>
      </c>
      <c r="P70" s="16">
        <v>3.7731481481481483E-3</v>
      </c>
      <c r="Q70">
        <v>9.1333333329999995</v>
      </c>
      <c r="R70" s="22">
        <f>Table6[[#This Row],[Total_obs_length_minutes]]*60</f>
        <v>547.99999997999998</v>
      </c>
      <c r="S70">
        <f>Table6[[#This Row],[Total_on_bout_duration_seconds]]/Table6[[#This Row],[Total_obs_length_seconds]]</f>
        <v>0</v>
      </c>
    </row>
    <row r="71" spans="1:19" x14ac:dyDescent="0.35">
      <c r="A71" t="s">
        <v>9</v>
      </c>
      <c r="B71" t="s">
        <v>11</v>
      </c>
      <c r="C71" t="str">
        <f>_xlfn.XLOOKUP(Table6[[#This Row],[Nest]],Model_draft_inc_temp_data!B:B,Model_draft_inc_temp_data!C:C, "No Match")</f>
        <v>CP8272</v>
      </c>
      <c r="D71">
        <f>_xlfn.XLOOKUP(Table6[[#This Row],[Female_ID]],Model_draft_inc_temp_data!C:C,Model_draft_inc_temp_data!E:E,"No Match")</f>
        <v>4</v>
      </c>
      <c r="E71">
        <f>_xlfn.XLOOKUP(Table6[[#This Row],[Nest]],Model_draft_inc_temp_data!B:B,Model_draft_inc_temp_data!H:H, "No Match")</f>
        <v>4</v>
      </c>
      <c r="F71">
        <f>_xlfn.XLOOKUP(Table6[[#This Row],[Nest]],Model_draft_inc_temp_data!B:B,Model_draft_inc_temp_data!J:J, "No Match")</f>
        <v>0</v>
      </c>
      <c r="G71">
        <v>3</v>
      </c>
      <c r="H71" s="11" cm="1">
        <f t="array" ref="H71">_xlfn.XLOOKUP(Table6[[#This Row],[Nest]]&amp;Table6[[#This Row],[Obs_date]],Model_draft_inc_temp_data!B:B&amp;Model_draft_inc_temp_data!M:M,Model_draft_inc_temp_data!F:F, "No Match")</f>
        <v>43765</v>
      </c>
      <c r="I71" s="11" cm="1">
        <f t="array" ref="I71">_xlfn.XLOOKUP(Table6[[#This Row],[Nest]]&amp;Table6[[#This Row],[Obs_date]], Model_draft_inc_temp_data!B:B&amp;Model_draft_inc_temp_data!M:M, Model_draft_inc_temp_data!I:I, "No Match")</f>
        <v>43768</v>
      </c>
      <c r="J71" s="11" cm="1">
        <f t="array" ref="J71">_xlfn.XLOOKUP(Table6[[#This Row],[Nest]]&amp;Table6[[#This Row],[Day_of_inc]],Model_draft_inc_temp_data!B:B&amp;Model_draft_inc_temp_data!O:O,Model_draft_inc_temp_data!M:M, "No Match")</f>
        <v>43771</v>
      </c>
      <c r="K71" s="16" cm="1">
        <f t="array" ref="K71">_xlfn.XLOOKUP(Table6[[#This Row],[Nest]]&amp;Table6[[#This Row],[Obs_date]],Sheet2!B:B&amp;Sheet2!E:E, Sheet2!F:F, "No Match")</f>
        <v>0.52361111111111114</v>
      </c>
      <c r="L71">
        <f>_xlfn.XLOOKUP(Table6[[#This Row],[Obs_date]],'19-20_niwa_temp_data'!B:B,'19-20_niwa_temp_data'!G:G, "No Match")</f>
        <v>13.655768012089251</v>
      </c>
      <c r="M71">
        <f>_xlfn.XLOOKUP(Table6[[#This Row],[Nest]],Model_draft_inc_temp_data!B:B,Model_draft_inc_temp_data!L:L, "No Match")</f>
        <v>15</v>
      </c>
      <c r="N71" s="16">
        <v>2.6863425925925926E-2</v>
      </c>
      <c r="O71">
        <f>Table6[[#This Row],[Total_on_bout_duration]]*86400</f>
        <v>2321</v>
      </c>
      <c r="P71" s="16">
        <v>9.1898148148148139E-3</v>
      </c>
      <c r="Q71">
        <v>78</v>
      </c>
      <c r="R71" s="22">
        <f>Table6[[#This Row],[Total_obs_length_minutes]]*60</f>
        <v>4680</v>
      </c>
      <c r="S71">
        <f>Table6[[#This Row],[Total_on_bout_duration_seconds]]/Table6[[#This Row],[Total_obs_length_seconds]]</f>
        <v>0.49594017094017095</v>
      </c>
    </row>
    <row r="72" spans="1:19" x14ac:dyDescent="0.35">
      <c r="A72" t="s">
        <v>9</v>
      </c>
      <c r="B72" t="s">
        <v>11</v>
      </c>
      <c r="C72" t="str">
        <f>_xlfn.XLOOKUP(Table6[[#This Row],[Nest]],Model_draft_inc_temp_data!B:B,Model_draft_inc_temp_data!C:C, "No Match")</f>
        <v>CP8272</v>
      </c>
      <c r="D72">
        <f>_xlfn.XLOOKUP(Table6[[#This Row],[Female_ID]],Model_draft_inc_temp_data!C:C,Model_draft_inc_temp_data!E:E,"No Match")</f>
        <v>4</v>
      </c>
      <c r="E72">
        <f>_xlfn.XLOOKUP(Table6[[#This Row],[Nest]],Model_draft_inc_temp_data!B:B,Model_draft_inc_temp_data!H:H, "No Match")</f>
        <v>4</v>
      </c>
      <c r="F72">
        <f>_xlfn.XLOOKUP(Table6[[#This Row],[Nest]],Model_draft_inc_temp_data!B:B,Model_draft_inc_temp_data!J:J, "No Match")</f>
        <v>0</v>
      </c>
      <c r="G72">
        <v>8</v>
      </c>
      <c r="H72" s="11" cm="1">
        <f t="array" ref="H72">_xlfn.XLOOKUP(Table6[[#This Row],[Nest]]&amp;Table6[[#This Row],[Obs_date]],Model_draft_inc_temp_data!B:B&amp;Model_draft_inc_temp_data!M:M,Model_draft_inc_temp_data!F:F, "No Match")</f>
        <v>43765</v>
      </c>
      <c r="I72" s="11" cm="1">
        <f t="array" ref="I72">_xlfn.XLOOKUP(Table6[[#This Row],[Nest]]&amp;Table6[[#This Row],[Obs_date]], Model_draft_inc_temp_data!B:B&amp;Model_draft_inc_temp_data!M:M, Model_draft_inc_temp_data!I:I, "No Match")</f>
        <v>43768</v>
      </c>
      <c r="J72" s="11" cm="1">
        <f t="array" ref="J72">_xlfn.XLOOKUP(Table6[[#This Row],[Nest]]&amp;Table6[[#This Row],[Day_of_inc]],Model_draft_inc_temp_data!B:B&amp;Model_draft_inc_temp_data!O:O,Model_draft_inc_temp_data!M:M, "No Match")</f>
        <v>43775</v>
      </c>
      <c r="K72" s="16" cm="1">
        <f t="array" ref="K72">_xlfn.XLOOKUP(Table6[[#This Row],[Nest]]&amp;Table6[[#This Row],[Obs_date]],Sheet2!B:B&amp;Sheet2!E:E, Sheet2!F:F, "No Match")</f>
        <v>0.55115740740740737</v>
      </c>
      <c r="L72">
        <f>_xlfn.XLOOKUP(Table6[[#This Row],[Obs_date]],'19-20_niwa_temp_data'!B:B,'19-20_niwa_temp_data'!G:G, "No Match")</f>
        <v>16.742759629165079</v>
      </c>
      <c r="M72">
        <f>_xlfn.XLOOKUP(Table6[[#This Row],[Nest]],Model_draft_inc_temp_data!B:B,Model_draft_inc_temp_data!L:L, "No Match")</f>
        <v>15</v>
      </c>
      <c r="N72" s="16">
        <v>1.2546296296296295E-2</v>
      </c>
      <c r="O72">
        <f>Table6[[#This Row],[Total_on_bout_duration]]*86400</f>
        <v>1083.9999999999998</v>
      </c>
      <c r="P72" s="16">
        <v>1.8668981481481481E-2</v>
      </c>
      <c r="Q72">
        <v>61</v>
      </c>
      <c r="R72" s="22">
        <f>Table6[[#This Row],[Total_obs_length_minutes]]*60</f>
        <v>3660</v>
      </c>
      <c r="S72">
        <f>Table6[[#This Row],[Total_on_bout_duration_seconds]]/Table6[[#This Row],[Total_obs_length_seconds]]</f>
        <v>0.2961748633879781</v>
      </c>
    </row>
    <row r="73" spans="1:19" x14ac:dyDescent="0.35">
      <c r="A73" t="s">
        <v>9</v>
      </c>
      <c r="B73" t="s">
        <v>64</v>
      </c>
      <c r="C73" t="str">
        <f>_xlfn.XLOOKUP(Table6[[#This Row],[Nest]],Model_draft_inc_temp_data!B:B,Model_draft_inc_temp_data!C:C, "No Match")</f>
        <v>CP11804</v>
      </c>
      <c r="D73">
        <f>_xlfn.XLOOKUP(Table6[[#This Row],[Female_ID]],Model_draft_inc_temp_data!C:C,Model_draft_inc_temp_data!E:E,"No Match")</f>
        <v>3</v>
      </c>
      <c r="E73">
        <f>_xlfn.XLOOKUP(Table6[[#This Row],[Nest]],Model_draft_inc_temp_data!B:B,Model_draft_inc_temp_data!H:H, "No Match")</f>
        <v>5</v>
      </c>
      <c r="F73">
        <f>_xlfn.XLOOKUP(Table6[[#This Row],[Nest]],Model_draft_inc_temp_data!B:B,Model_draft_inc_temp_data!J:J, "No Match")</f>
        <v>0</v>
      </c>
      <c r="G73">
        <v>1</v>
      </c>
      <c r="H73" s="11" cm="1">
        <f t="array" ref="H73">_xlfn.XLOOKUP(Table6[[#This Row],[Nest]]&amp;Table6[[#This Row],[Obs_date]],Model_draft_inc_temp_data!B:B&amp;Model_draft_inc_temp_data!M:M,Model_draft_inc_temp_data!F:F, "No Match")</f>
        <v>43796</v>
      </c>
      <c r="I73" s="11" cm="1">
        <f t="array" ref="I73">_xlfn.XLOOKUP(Table6[[#This Row],[Nest]]&amp;Table6[[#This Row],[Obs_date]], Model_draft_inc_temp_data!B:B&amp;Model_draft_inc_temp_data!M:M, Model_draft_inc_temp_data!I:I, "No Match")</f>
        <v>43800</v>
      </c>
      <c r="J73" s="11" cm="1">
        <f t="array" ref="J73">_xlfn.XLOOKUP(Table6[[#This Row],[Nest]]&amp;Table6[[#This Row],[Day_of_inc]],Model_draft_inc_temp_data!B:B&amp;Model_draft_inc_temp_data!O:O,Model_draft_inc_temp_data!M:M, "No Match")</f>
        <v>43800</v>
      </c>
      <c r="K73" s="16" cm="1">
        <f t="array" ref="K73">_xlfn.XLOOKUP(Table6[[#This Row],[Nest]]&amp;Table6[[#This Row],[Obs_date]],Sheet2!B:B&amp;Sheet2!E:E, Sheet2!F:F, "No Match")</f>
        <v>0.59180555555555558</v>
      </c>
      <c r="L73">
        <f>_xlfn.XLOOKUP(Table6[[#This Row],[Obs_date]],'19-20_niwa_temp_data'!B:B,'19-20_niwa_temp_data'!G:G, "No Match")</f>
        <v>18.185708674670888</v>
      </c>
      <c r="M73">
        <f>_xlfn.XLOOKUP(Table6[[#This Row],[Nest]],Model_draft_inc_temp_data!B:B,Model_draft_inc_temp_data!L:L, "No Match")</f>
        <v>14</v>
      </c>
      <c r="N73" s="16">
        <v>1.7939814814814815E-2</v>
      </c>
      <c r="O73">
        <f>Table6[[#This Row],[Total_on_bout_duration]]*86400</f>
        <v>1550</v>
      </c>
      <c r="P73" s="16">
        <v>4.178240740740741E-3</v>
      </c>
      <c r="Q73">
        <v>22</v>
      </c>
      <c r="R73" s="22">
        <f>Table6[[#This Row],[Total_obs_length_minutes]]*60</f>
        <v>1320</v>
      </c>
      <c r="S73">
        <f>Table6[[#This Row],[Total_on_bout_duration_seconds]]/Table6[[#This Row],[Total_obs_length_seconds]]</f>
        <v>1.1742424242424243</v>
      </c>
    </row>
    <row r="74" spans="1:19" x14ac:dyDescent="0.35">
      <c r="A74" t="s">
        <v>9</v>
      </c>
      <c r="B74" t="s">
        <v>64</v>
      </c>
      <c r="C74" t="str">
        <f>_xlfn.XLOOKUP(Table6[[#This Row],[Nest]],Model_draft_inc_temp_data!B:B,Model_draft_inc_temp_data!C:C, "No Match")</f>
        <v>CP11804</v>
      </c>
      <c r="D74">
        <f>_xlfn.XLOOKUP(Table6[[#This Row],[Female_ID]],Model_draft_inc_temp_data!C:C,Model_draft_inc_temp_data!E:E,"No Match")</f>
        <v>3</v>
      </c>
      <c r="E74">
        <f>_xlfn.XLOOKUP(Table6[[#This Row],[Nest]],Model_draft_inc_temp_data!B:B,Model_draft_inc_temp_data!H:H, "No Match")</f>
        <v>5</v>
      </c>
      <c r="F74">
        <f>_xlfn.XLOOKUP(Table6[[#This Row],[Nest]],Model_draft_inc_temp_data!B:B,Model_draft_inc_temp_data!J:J, "No Match")</f>
        <v>0</v>
      </c>
      <c r="G74">
        <v>7</v>
      </c>
      <c r="H74" s="11" cm="1">
        <f t="array" ref="H74">_xlfn.XLOOKUP(Table6[[#This Row],[Nest]]&amp;Table6[[#This Row],[Obs_date]],Model_draft_inc_temp_data!B:B&amp;Model_draft_inc_temp_data!M:M,Model_draft_inc_temp_data!F:F, "No Match")</f>
        <v>43796</v>
      </c>
      <c r="I74" s="11" cm="1">
        <f t="array" ref="I74">_xlfn.XLOOKUP(Table6[[#This Row],[Nest]]&amp;Table6[[#This Row],[Obs_date]], Model_draft_inc_temp_data!B:B&amp;Model_draft_inc_temp_data!M:M, Model_draft_inc_temp_data!I:I, "No Match")</f>
        <v>43800</v>
      </c>
      <c r="J74" s="11" cm="1">
        <f t="array" ref="J74">_xlfn.XLOOKUP(Table6[[#This Row],[Nest]]&amp;Table6[[#This Row],[Day_of_inc]],Model_draft_inc_temp_data!B:B&amp;Model_draft_inc_temp_data!O:O,Model_draft_inc_temp_data!M:M, "No Match")</f>
        <v>43807</v>
      </c>
      <c r="K74" s="16" cm="1">
        <f t="array" ref="K74">_xlfn.XLOOKUP(Table6[[#This Row],[Nest]]&amp;Table6[[#This Row],[Obs_date]],Sheet2!B:B&amp;Sheet2!E:E, Sheet2!F:F, "No Match")</f>
        <v>0.50399305555555551</v>
      </c>
      <c r="L74">
        <f>_xlfn.XLOOKUP(Table6[[#This Row],[Obs_date]],'19-20_niwa_temp_data'!B:B,'19-20_niwa_temp_data'!G:G, "No Match")</f>
        <v>19.420092687729376</v>
      </c>
      <c r="M74">
        <f>_xlfn.XLOOKUP(Table6[[#This Row],[Nest]],Model_draft_inc_temp_data!B:B,Model_draft_inc_temp_data!L:L, "No Match")</f>
        <v>14</v>
      </c>
      <c r="N74" s="16">
        <v>0</v>
      </c>
      <c r="O74">
        <f>Table6[[#This Row],[Total_on_bout_duration]]*86400</f>
        <v>0</v>
      </c>
      <c r="P74" s="16">
        <v>2.9282407407407408E-3</v>
      </c>
      <c r="Q74">
        <v>63</v>
      </c>
      <c r="R74" s="22">
        <f>Table6[[#This Row],[Total_obs_length_minutes]]*60</f>
        <v>3780</v>
      </c>
      <c r="S74">
        <f>Table6[[#This Row],[Total_on_bout_duration_seconds]]/Table6[[#This Row],[Total_obs_length_seconds]]</f>
        <v>0</v>
      </c>
    </row>
    <row r="75" spans="1:19" x14ac:dyDescent="0.35">
      <c r="A75" t="s">
        <v>9</v>
      </c>
      <c r="B75" t="s">
        <v>39</v>
      </c>
      <c r="C75" t="str">
        <f>_xlfn.XLOOKUP(Table6[[#This Row],[Nest]],Model_draft_inc_temp_data!B:B,Model_draft_inc_temp_data!C:C, "No Match")</f>
        <v>CP8214</v>
      </c>
      <c r="D75">
        <f>_xlfn.XLOOKUP(Table6[[#This Row],[Female_ID]],Model_draft_inc_temp_data!C:C,Model_draft_inc_temp_data!E:E,"No Match")</f>
        <v>4</v>
      </c>
      <c r="E75">
        <f>_xlfn.XLOOKUP(Table6[[#This Row],[Nest]],Model_draft_inc_temp_data!B:B,Model_draft_inc_temp_data!H:H, "No Match")</f>
        <v>4</v>
      </c>
      <c r="F75">
        <f>_xlfn.XLOOKUP(Table6[[#This Row],[Nest]],Model_draft_inc_temp_data!B:B,Model_draft_inc_temp_data!J:J, "No Match")</f>
        <v>0</v>
      </c>
      <c r="G75">
        <v>1</v>
      </c>
      <c r="H75" s="11" cm="1">
        <f t="array" ref="H75">_xlfn.XLOOKUP(Table6[[#This Row],[Nest]]&amp;Table6[[#This Row],[Obs_date]],Model_draft_inc_temp_data!B:B&amp;Model_draft_inc_temp_data!M:M,Model_draft_inc_temp_data!F:F, "No Match")</f>
        <v>43779</v>
      </c>
      <c r="I75" s="11" cm="1">
        <f t="array" ref="I75">_xlfn.XLOOKUP(Table6[[#This Row],[Nest]]&amp;Table6[[#This Row],[Obs_date]], Model_draft_inc_temp_data!B:B&amp;Model_draft_inc_temp_data!M:M, Model_draft_inc_temp_data!I:I, "No Match")</f>
        <v>43782</v>
      </c>
      <c r="J75" s="11" cm="1">
        <f t="array" ref="J75">_xlfn.XLOOKUP(Table6[[#This Row],[Nest]]&amp;Table6[[#This Row],[Day_of_inc]],Model_draft_inc_temp_data!B:B&amp;Model_draft_inc_temp_data!O:O,Model_draft_inc_temp_data!M:M, "No Match")</f>
        <v>43783</v>
      </c>
      <c r="K75" s="16" cm="1">
        <f t="array" ref="K75">_xlfn.XLOOKUP(Table6[[#This Row],[Nest]]&amp;Table6[[#This Row],[Obs_date]],Sheet2!B:B&amp;Sheet2!E:E, Sheet2!F:F, "No Match")</f>
        <v>0.50555555555555554</v>
      </c>
      <c r="L75">
        <f>_xlfn.XLOOKUP(Table6[[#This Row],[Obs_date]],'19-20_niwa_temp_data'!B:B,'19-20_niwa_temp_data'!G:G, "No Match")</f>
        <v>16.095962226595837</v>
      </c>
      <c r="M75">
        <f>_xlfn.XLOOKUP(Table6[[#This Row],[Nest]],Model_draft_inc_temp_data!B:B,Model_draft_inc_temp_data!L:L, "No Match")</f>
        <v>14</v>
      </c>
      <c r="N75" s="16">
        <v>8.2407407407407412E-3</v>
      </c>
      <c r="O75">
        <f>Table6[[#This Row],[Total_on_bout_duration]]*86400</f>
        <v>712</v>
      </c>
      <c r="P75" s="16">
        <v>2.2569444444444448E-2</v>
      </c>
      <c r="Q75">
        <v>61</v>
      </c>
      <c r="R75" s="22">
        <f>Table6[[#This Row],[Total_obs_length_minutes]]*60</f>
        <v>3660</v>
      </c>
      <c r="S75">
        <f>Table6[[#This Row],[Total_on_bout_duration_seconds]]/Table6[[#This Row],[Total_obs_length_seconds]]</f>
        <v>0.19453551912568307</v>
      </c>
    </row>
    <row r="76" spans="1:19" x14ac:dyDescent="0.35">
      <c r="A76" t="s">
        <v>9</v>
      </c>
      <c r="B76" t="s">
        <v>39</v>
      </c>
      <c r="C76" t="str">
        <f>_xlfn.XLOOKUP(Table6[[#This Row],[Nest]],Model_draft_inc_temp_data!B:B,Model_draft_inc_temp_data!C:C, "No Match")</f>
        <v>CP8214</v>
      </c>
      <c r="D76">
        <f>_xlfn.XLOOKUP(Table6[[#This Row],[Female_ID]],Model_draft_inc_temp_data!C:C,Model_draft_inc_temp_data!E:E,"No Match")</f>
        <v>4</v>
      </c>
      <c r="E76">
        <f>_xlfn.XLOOKUP(Table6[[#This Row],[Nest]],Model_draft_inc_temp_data!B:B,Model_draft_inc_temp_data!H:H, "No Match")</f>
        <v>4</v>
      </c>
      <c r="F76">
        <f>_xlfn.XLOOKUP(Table6[[#This Row],[Nest]],Model_draft_inc_temp_data!B:B,Model_draft_inc_temp_data!J:J, "No Match")</f>
        <v>0</v>
      </c>
      <c r="G76">
        <v>7</v>
      </c>
      <c r="H76" s="11" cm="1">
        <f t="array" ref="H76">_xlfn.XLOOKUP(Table6[[#This Row],[Nest]]&amp;Table6[[#This Row],[Obs_date]],Model_draft_inc_temp_data!B:B&amp;Model_draft_inc_temp_data!M:M,Model_draft_inc_temp_data!F:F, "No Match")</f>
        <v>43779</v>
      </c>
      <c r="I76" s="11" cm="1">
        <f t="array" ref="I76">_xlfn.XLOOKUP(Table6[[#This Row],[Nest]]&amp;Table6[[#This Row],[Obs_date]], Model_draft_inc_temp_data!B:B&amp;Model_draft_inc_temp_data!M:M, Model_draft_inc_temp_data!I:I, "No Match")</f>
        <v>43782</v>
      </c>
      <c r="J76" s="11" cm="1">
        <f t="array" ref="J76">_xlfn.XLOOKUP(Table6[[#This Row],[Nest]]&amp;Table6[[#This Row],[Day_of_inc]],Model_draft_inc_temp_data!B:B&amp;Model_draft_inc_temp_data!O:O,Model_draft_inc_temp_data!M:M, "No Match")</f>
        <v>43789</v>
      </c>
      <c r="K76" s="16" cm="1">
        <f t="array" ref="K76">_xlfn.XLOOKUP(Table6[[#This Row],[Nest]]&amp;Table6[[#This Row],[Obs_date]],Sheet2!B:B&amp;Sheet2!E:E, Sheet2!F:F, "No Match")</f>
        <v>0.7</v>
      </c>
      <c r="L76">
        <f>_xlfn.XLOOKUP(Table6[[#This Row],[Obs_date]],'19-20_niwa_temp_data'!B:B,'19-20_niwa_temp_data'!G:G, "No Match")</f>
        <v>13.516656391282572</v>
      </c>
      <c r="M76">
        <f>_xlfn.XLOOKUP(Table6[[#This Row],[Nest]],Model_draft_inc_temp_data!B:B,Model_draft_inc_temp_data!L:L, "No Match")</f>
        <v>14</v>
      </c>
      <c r="N76" s="16">
        <v>3.6458333333333334E-3</v>
      </c>
      <c r="O76">
        <f>Table6[[#This Row],[Total_on_bout_duration]]*86400</f>
        <v>315</v>
      </c>
      <c r="P76" s="16">
        <v>1.2164351851851852E-2</v>
      </c>
      <c r="Q76">
        <v>62</v>
      </c>
      <c r="R76" s="22">
        <f>Table6[[#This Row],[Total_obs_length_minutes]]*60</f>
        <v>3720</v>
      </c>
      <c r="S76">
        <f>Table6[[#This Row],[Total_on_bout_duration_seconds]]/Table6[[#This Row],[Total_obs_length_seconds]]</f>
        <v>8.4677419354838704E-2</v>
      </c>
    </row>
    <row r="77" spans="1:19" x14ac:dyDescent="0.35">
      <c r="A77" t="s">
        <v>9</v>
      </c>
      <c r="B77" t="s">
        <v>39</v>
      </c>
      <c r="C77" t="str">
        <f>_xlfn.XLOOKUP(Table6[[#This Row],[Nest]],Model_draft_inc_temp_data!B:B,Model_draft_inc_temp_data!C:C, "No Match")</f>
        <v>CP8214</v>
      </c>
      <c r="D77">
        <f>_xlfn.XLOOKUP(Table6[[#This Row],[Female_ID]],Model_draft_inc_temp_data!C:C,Model_draft_inc_temp_data!E:E,"No Match")</f>
        <v>4</v>
      </c>
      <c r="E77">
        <f>_xlfn.XLOOKUP(Table6[[#This Row],[Nest]],Model_draft_inc_temp_data!B:B,Model_draft_inc_temp_data!H:H, "No Match")</f>
        <v>4</v>
      </c>
      <c r="F77">
        <f>_xlfn.XLOOKUP(Table6[[#This Row],[Nest]],Model_draft_inc_temp_data!B:B,Model_draft_inc_temp_data!J:J, "No Match")</f>
        <v>0</v>
      </c>
      <c r="G77">
        <v>13</v>
      </c>
      <c r="H77" s="11" cm="1">
        <f t="array" ref="H77">_xlfn.XLOOKUP(Table6[[#This Row],[Nest]]&amp;Table6[[#This Row],[Obs_date]],Model_draft_inc_temp_data!B:B&amp;Model_draft_inc_temp_data!M:M,Model_draft_inc_temp_data!F:F, "No Match")</f>
        <v>43779</v>
      </c>
      <c r="I77" s="11" cm="1">
        <f t="array" ref="I77">_xlfn.XLOOKUP(Table6[[#This Row],[Nest]]&amp;Table6[[#This Row],[Obs_date]], Model_draft_inc_temp_data!B:B&amp;Model_draft_inc_temp_data!M:M, Model_draft_inc_temp_data!I:I, "No Match")</f>
        <v>43782</v>
      </c>
      <c r="J77" s="11" cm="1">
        <f t="array" ref="J77">_xlfn.XLOOKUP(Table6[[#This Row],[Nest]]&amp;Table6[[#This Row],[Day_of_inc]],Model_draft_inc_temp_data!B:B&amp;Model_draft_inc_temp_data!O:O,Model_draft_inc_temp_data!M:M, "No Match")</f>
        <v>43795</v>
      </c>
      <c r="K77" s="16" cm="1">
        <f t="array" ref="K77">_xlfn.XLOOKUP(Table6[[#This Row],[Nest]]&amp;Table6[[#This Row],[Obs_date]],Sheet2!B:B&amp;Sheet2!E:E, Sheet2!F:F, "No Match")</f>
        <v>0.50902777777777775</v>
      </c>
      <c r="L77">
        <f>_xlfn.XLOOKUP(Table6[[#This Row],[Obs_date]],'19-20_niwa_temp_data'!B:B,'19-20_niwa_temp_data'!G:G, "No Match")</f>
        <v>16.664933243190625</v>
      </c>
      <c r="M77">
        <f>_xlfn.XLOOKUP(Table6[[#This Row],[Nest]],Model_draft_inc_temp_data!B:B,Model_draft_inc_temp_data!L:L, "No Match")</f>
        <v>14</v>
      </c>
      <c r="N77" s="16">
        <v>3.0324074074074077E-3</v>
      </c>
      <c r="O77">
        <f>Table6[[#This Row],[Total_on_bout_duration]]*86400</f>
        <v>262</v>
      </c>
      <c r="P77" s="16">
        <v>9.6180555555555568E-3</v>
      </c>
      <c r="Q77">
        <v>19</v>
      </c>
      <c r="R77" s="22">
        <f>Table6[[#This Row],[Total_obs_length_minutes]]*60</f>
        <v>1140</v>
      </c>
      <c r="S77">
        <f>Table6[[#This Row],[Total_on_bout_duration_seconds]]/Table6[[#This Row],[Total_obs_length_seconds]]</f>
        <v>0.22982456140350876</v>
      </c>
    </row>
    <row r="78" spans="1:19" x14ac:dyDescent="0.35">
      <c r="A78" t="s">
        <v>9</v>
      </c>
      <c r="B78" t="s">
        <v>34</v>
      </c>
      <c r="C78" t="str">
        <f>_xlfn.XLOOKUP(Table6[[#This Row],[Nest]],Model_draft_inc_temp_data!B:B,Model_draft_inc_temp_data!C:C, "No Match")</f>
        <v>CP13474</v>
      </c>
      <c r="D78">
        <f>_xlfn.XLOOKUP(Table6[[#This Row],[Female_ID]],Model_draft_inc_temp_data!C:C,Model_draft_inc_temp_data!E:E,"No Match")</f>
        <v>1</v>
      </c>
      <c r="E78">
        <f>_xlfn.XLOOKUP(Table6[[#This Row],[Nest]],Model_draft_inc_temp_data!B:B,Model_draft_inc_temp_data!H:H, "No Match")</f>
        <v>4</v>
      </c>
      <c r="F78">
        <f>_xlfn.XLOOKUP(Table6[[#This Row],[Nest]],Model_draft_inc_temp_data!B:B,Model_draft_inc_temp_data!J:J, "No Match")</f>
        <v>0</v>
      </c>
      <c r="G78">
        <v>1</v>
      </c>
      <c r="H78" s="11" cm="1">
        <f t="array" ref="H78">_xlfn.XLOOKUP(Table6[[#This Row],[Nest]]&amp;Table6[[#This Row],[Obs_date]],Model_draft_inc_temp_data!B:B&amp;Model_draft_inc_temp_data!M:M,Model_draft_inc_temp_data!F:F, "No Match")</f>
        <v>43778</v>
      </c>
      <c r="I78" s="11" cm="1">
        <f t="array" ref="I78">_xlfn.XLOOKUP(Table6[[#This Row],[Nest]]&amp;Table6[[#This Row],[Obs_date]], Model_draft_inc_temp_data!B:B&amp;Model_draft_inc_temp_data!M:M, Model_draft_inc_temp_data!I:I, "No Match")</f>
        <v>43781</v>
      </c>
      <c r="J78" s="11" cm="1">
        <f t="array" ref="J78">_xlfn.XLOOKUP(Table6[[#This Row],[Nest]]&amp;Table6[[#This Row],[Day_of_inc]],Model_draft_inc_temp_data!B:B&amp;Model_draft_inc_temp_data!O:O,Model_draft_inc_temp_data!M:M, "No Match")</f>
        <v>43782</v>
      </c>
      <c r="K78" s="16" cm="1">
        <f t="array" ref="K78">_xlfn.XLOOKUP(Table6[[#This Row],[Nest]]&amp;Table6[[#This Row],[Obs_date]],Sheet2!B:B&amp;Sheet2!E:E, Sheet2!F:F, "No Match")</f>
        <v>0.63761574074074079</v>
      </c>
      <c r="L78">
        <f>_xlfn.XLOOKUP(Table6[[#This Row],[Obs_date]],'19-20_niwa_temp_data'!B:B,'19-20_niwa_temp_data'!G:G, "No Match")</f>
        <v>11.944873377311289</v>
      </c>
      <c r="M78">
        <f>_xlfn.XLOOKUP(Table6[[#This Row],[Nest]],Model_draft_inc_temp_data!B:B,Model_draft_inc_temp_data!L:L, "No Match")</f>
        <v>15</v>
      </c>
      <c r="N78" s="16">
        <v>4.9872685185185187E-2</v>
      </c>
      <c r="O78">
        <f>Table6[[#This Row],[Total_on_bout_duration]]*86400</f>
        <v>4309</v>
      </c>
      <c r="P78" s="16">
        <v>1.8124999999999999E-2</v>
      </c>
      <c r="Q78">
        <v>73</v>
      </c>
      <c r="R78" s="22">
        <f>Table6[[#This Row],[Total_obs_length_minutes]]*60</f>
        <v>4380</v>
      </c>
      <c r="S78">
        <f>Table6[[#This Row],[Total_on_bout_duration_seconds]]/Table6[[#This Row],[Total_obs_length_seconds]]</f>
        <v>0.98378995433789951</v>
      </c>
    </row>
    <row r="79" spans="1:19" x14ac:dyDescent="0.35">
      <c r="A79" t="s">
        <v>9</v>
      </c>
      <c r="B79" t="s">
        <v>34</v>
      </c>
      <c r="C79" t="str">
        <f>_xlfn.XLOOKUP(Table6[[#This Row],[Nest]],Model_draft_inc_temp_data!B:B,Model_draft_inc_temp_data!C:C, "No Match")</f>
        <v>CP13474</v>
      </c>
      <c r="D79">
        <f>_xlfn.XLOOKUP(Table6[[#This Row],[Female_ID]],Model_draft_inc_temp_data!C:C,Model_draft_inc_temp_data!E:E,"No Match")</f>
        <v>1</v>
      </c>
      <c r="E79">
        <f>_xlfn.XLOOKUP(Table6[[#This Row],[Nest]],Model_draft_inc_temp_data!B:B,Model_draft_inc_temp_data!H:H, "No Match")</f>
        <v>4</v>
      </c>
      <c r="F79">
        <f>_xlfn.XLOOKUP(Table6[[#This Row],[Nest]],Model_draft_inc_temp_data!B:B,Model_draft_inc_temp_data!J:J, "No Match")</f>
        <v>0</v>
      </c>
      <c r="G79">
        <v>8</v>
      </c>
      <c r="H79" s="11" cm="1">
        <f t="array" ref="H79">_xlfn.XLOOKUP(Table6[[#This Row],[Nest]]&amp;Table6[[#This Row],[Obs_date]],Model_draft_inc_temp_data!B:B&amp;Model_draft_inc_temp_data!M:M,Model_draft_inc_temp_data!F:F, "No Match")</f>
        <v>43778</v>
      </c>
      <c r="I79" s="11" cm="1">
        <f t="array" ref="I79">_xlfn.XLOOKUP(Table6[[#This Row],[Nest]]&amp;Table6[[#This Row],[Obs_date]], Model_draft_inc_temp_data!B:B&amp;Model_draft_inc_temp_data!M:M, Model_draft_inc_temp_data!I:I, "No Match")</f>
        <v>43781</v>
      </c>
      <c r="J79" s="11" cm="1">
        <f t="array" ref="J79">_xlfn.XLOOKUP(Table6[[#This Row],[Nest]]&amp;Table6[[#This Row],[Day_of_inc]],Model_draft_inc_temp_data!B:B&amp;Model_draft_inc_temp_data!O:O,Model_draft_inc_temp_data!M:M, "No Match")</f>
        <v>43790</v>
      </c>
      <c r="K79" s="16" cm="1">
        <f t="array" ref="K79">_xlfn.XLOOKUP(Table6[[#This Row],[Nest]]&amp;Table6[[#This Row],[Obs_date]],Sheet2!B:B&amp;Sheet2!E:E, Sheet2!F:F, "No Match")</f>
        <v>0.50332175925925926</v>
      </c>
      <c r="L79">
        <f>_xlfn.XLOOKUP(Table6[[#This Row],[Obs_date]],'19-20_niwa_temp_data'!B:B,'19-20_niwa_temp_data'!G:G, "No Match")</f>
        <v>16.25176913446656</v>
      </c>
      <c r="M79">
        <f>_xlfn.XLOOKUP(Table6[[#This Row],[Nest]],Model_draft_inc_temp_data!B:B,Model_draft_inc_temp_data!L:L, "No Match")</f>
        <v>15</v>
      </c>
      <c r="N79" s="16">
        <v>6.805555555555556E-3</v>
      </c>
      <c r="O79">
        <f>Table6[[#This Row],[Total_on_bout_duration]]*86400</f>
        <v>588</v>
      </c>
      <c r="P79" s="16">
        <v>1.997685185185185E-2</v>
      </c>
      <c r="Q79">
        <v>56</v>
      </c>
      <c r="R79" s="22">
        <f>Table6[[#This Row],[Total_obs_length_minutes]]*60</f>
        <v>3360</v>
      </c>
      <c r="S79">
        <f>Table6[[#This Row],[Total_on_bout_duration_seconds]]/Table6[[#This Row],[Total_obs_length_seconds]]</f>
        <v>0.17499999999999999</v>
      </c>
    </row>
    <row r="80" spans="1:19" x14ac:dyDescent="0.35">
      <c r="A80" t="s">
        <v>9</v>
      </c>
      <c r="B80" t="s">
        <v>51</v>
      </c>
      <c r="C80" t="str">
        <f>_xlfn.XLOOKUP(Table6[[#This Row],[Nest]],Model_draft_inc_temp_data!B:B,Model_draft_inc_temp_data!C:C, "No Match")</f>
        <v>CP8157</v>
      </c>
      <c r="D80">
        <f>_xlfn.XLOOKUP(Table6[[#This Row],[Female_ID]],Model_draft_inc_temp_data!C:C,Model_draft_inc_temp_data!E:E,"No Match")</f>
        <v>5</v>
      </c>
      <c r="E80">
        <f>_xlfn.XLOOKUP(Table6[[#This Row],[Nest]],Model_draft_inc_temp_data!B:B,Model_draft_inc_temp_data!H:H, "No Match")</f>
        <v>4</v>
      </c>
      <c r="F80">
        <f>_xlfn.XLOOKUP(Table6[[#This Row],[Nest]],Model_draft_inc_temp_data!B:B,Model_draft_inc_temp_data!J:J, "No Match")</f>
        <v>0</v>
      </c>
      <c r="G80">
        <v>1</v>
      </c>
      <c r="H80" s="11" cm="1">
        <f t="array" ref="H80">_xlfn.XLOOKUP(Table6[[#This Row],[Nest]]&amp;Table6[[#This Row],[Obs_date]],Model_draft_inc_temp_data!B:B&amp;Model_draft_inc_temp_data!M:M,Model_draft_inc_temp_data!F:F, "No Match")</f>
        <v>43788</v>
      </c>
      <c r="I80" s="11" cm="1">
        <f t="array" ref="I80">_xlfn.XLOOKUP(Table6[[#This Row],[Nest]]&amp;Table6[[#This Row],[Obs_date]], Model_draft_inc_temp_data!B:B&amp;Model_draft_inc_temp_data!M:M, Model_draft_inc_temp_data!I:I, "No Match")</f>
        <v>43791</v>
      </c>
      <c r="J80" s="11" cm="1">
        <f t="array" ref="J80">_xlfn.XLOOKUP(Table6[[#This Row],[Nest]]&amp;Table6[[#This Row],[Day_of_inc]],Model_draft_inc_temp_data!B:B&amp;Model_draft_inc_temp_data!O:O,Model_draft_inc_temp_data!M:M, "No Match")</f>
        <v>43792</v>
      </c>
      <c r="K80" s="16" cm="1">
        <f t="array" ref="K80">_xlfn.XLOOKUP(Table6[[#This Row],[Nest]]&amp;Table6[[#This Row],[Obs_date]],Sheet2!B:B&amp;Sheet2!E:E, Sheet2!F:F, "No Match")</f>
        <v>0.63068287037037041</v>
      </c>
      <c r="L80">
        <f>_xlfn.XLOOKUP(Table6[[#This Row],[Obs_date]],'19-20_niwa_temp_data'!B:B,'19-20_niwa_temp_data'!G:G, "No Match")</f>
        <v>15.553777676178864</v>
      </c>
      <c r="M80">
        <f>_xlfn.XLOOKUP(Table6[[#This Row],[Nest]],Model_draft_inc_temp_data!B:B,Model_draft_inc_temp_data!L:L, "No Match")</f>
        <v>14</v>
      </c>
      <c r="N80" s="16">
        <v>8.8078703703703704E-3</v>
      </c>
      <c r="O80">
        <f>Table6[[#This Row],[Total_on_bout_duration]]*86400</f>
        <v>761</v>
      </c>
      <c r="P80" s="16">
        <v>1.3310185185185185E-3</v>
      </c>
      <c r="Q80">
        <v>65</v>
      </c>
      <c r="R80" s="22">
        <f>Table6[[#This Row],[Total_obs_length_minutes]]*60</f>
        <v>3900</v>
      </c>
      <c r="S80">
        <f>Table6[[#This Row],[Total_on_bout_duration_seconds]]/Table6[[#This Row],[Total_obs_length_seconds]]</f>
        <v>0.19512820512820514</v>
      </c>
    </row>
    <row r="81" spans="1:19" x14ac:dyDescent="0.35">
      <c r="A81" t="s">
        <v>9</v>
      </c>
      <c r="B81" t="s">
        <v>49</v>
      </c>
      <c r="C81" t="str">
        <f>_xlfn.XLOOKUP(Table6[[#This Row],[Nest]],Model_draft_inc_temp_data!B:B,Model_draft_inc_temp_data!C:C, "No Match")</f>
        <v>C94406</v>
      </c>
      <c r="D81">
        <f>_xlfn.XLOOKUP(Table6[[#This Row],[Female_ID]],Model_draft_inc_temp_data!C:C,Model_draft_inc_temp_data!E:E,"No Match")</f>
        <v>6</v>
      </c>
      <c r="E81">
        <f>_xlfn.XLOOKUP(Table6[[#This Row],[Nest]],Model_draft_inc_temp_data!B:B,Model_draft_inc_temp_data!H:H, "No Match")</f>
        <v>5</v>
      </c>
      <c r="F81">
        <f>_xlfn.XLOOKUP(Table6[[#This Row],[Nest]],Model_draft_inc_temp_data!B:B,Model_draft_inc_temp_data!J:J, "No Match")</f>
        <v>0</v>
      </c>
      <c r="G81">
        <v>1</v>
      </c>
      <c r="H81" s="11" cm="1">
        <f t="array" ref="H81">_xlfn.XLOOKUP(Table6[[#This Row],[Nest]]&amp;Table6[[#This Row],[Obs_date]],Model_draft_inc_temp_data!B:B&amp;Model_draft_inc_temp_data!M:M,Model_draft_inc_temp_data!F:F, "No Match")</f>
        <v>43784</v>
      </c>
      <c r="I81" s="11" cm="1">
        <f t="array" ref="I81">_xlfn.XLOOKUP(Table6[[#This Row],[Nest]]&amp;Table6[[#This Row],[Obs_date]], Model_draft_inc_temp_data!B:B&amp;Model_draft_inc_temp_data!M:M, Model_draft_inc_temp_data!I:I, "No Match")</f>
        <v>43788</v>
      </c>
      <c r="J81" s="11" cm="1">
        <f t="array" ref="J81">_xlfn.XLOOKUP(Table6[[#This Row],[Nest]]&amp;Table6[[#This Row],[Day_of_inc]],Model_draft_inc_temp_data!B:B&amp;Model_draft_inc_temp_data!O:O,Model_draft_inc_temp_data!M:M, "No Match")</f>
        <v>43788</v>
      </c>
      <c r="K81" s="16" cm="1">
        <f t="array" ref="K81">_xlfn.XLOOKUP(Table6[[#This Row],[Nest]]&amp;Table6[[#This Row],[Obs_date]],Sheet2!B:B&amp;Sheet2!E:E, Sheet2!F:F, "No Match")</f>
        <v>0.57708333333333328</v>
      </c>
      <c r="L81">
        <f>_xlfn.XLOOKUP(Table6[[#This Row],[Obs_date]],'19-20_niwa_temp_data'!B:B,'19-20_niwa_temp_data'!G:G, "No Match")</f>
        <v>14.974979131871937</v>
      </c>
      <c r="M81">
        <f>_xlfn.XLOOKUP(Table6[[#This Row],[Nest]],Model_draft_inc_temp_data!B:B,Model_draft_inc_temp_data!L:L, "No Match")</f>
        <v>15</v>
      </c>
      <c r="N81" s="16">
        <v>3.5879629629629629E-3</v>
      </c>
      <c r="O81">
        <f>Table6[[#This Row],[Total_on_bout_duration]]*86400</f>
        <v>310</v>
      </c>
      <c r="P81" s="16">
        <v>1.90625E-2</v>
      </c>
      <c r="Q81">
        <v>60</v>
      </c>
      <c r="R81" s="22">
        <f>Table6[[#This Row],[Total_obs_length_minutes]]*60</f>
        <v>3600</v>
      </c>
      <c r="S81">
        <f>Table6[[#This Row],[Total_on_bout_duration_seconds]]/Table6[[#This Row],[Total_obs_length_seconds]]</f>
        <v>8.611111111111111E-2</v>
      </c>
    </row>
    <row r="82" spans="1:19" x14ac:dyDescent="0.35">
      <c r="A82" t="s">
        <v>9</v>
      </c>
      <c r="B82" t="s">
        <v>49</v>
      </c>
      <c r="C82" t="str">
        <f>_xlfn.XLOOKUP(Table6[[#This Row],[Nest]],Model_draft_inc_temp_data!B:B,Model_draft_inc_temp_data!C:C, "No Match")</f>
        <v>C94406</v>
      </c>
      <c r="D82">
        <f>_xlfn.XLOOKUP(Table6[[#This Row],[Female_ID]],Model_draft_inc_temp_data!C:C,Model_draft_inc_temp_data!E:E,"No Match")</f>
        <v>6</v>
      </c>
      <c r="E82">
        <f>_xlfn.XLOOKUP(Table6[[#This Row],[Nest]],Model_draft_inc_temp_data!B:B,Model_draft_inc_temp_data!H:H, "No Match")</f>
        <v>5</v>
      </c>
      <c r="F82">
        <f>_xlfn.XLOOKUP(Table6[[#This Row],[Nest]],Model_draft_inc_temp_data!B:B,Model_draft_inc_temp_data!J:J, "No Match")</f>
        <v>0</v>
      </c>
      <c r="G82">
        <v>7</v>
      </c>
      <c r="H82" s="11" cm="1">
        <f t="array" ref="H82">_xlfn.XLOOKUP(Table6[[#This Row],[Nest]]&amp;Table6[[#This Row],[Obs_date]],Model_draft_inc_temp_data!B:B&amp;Model_draft_inc_temp_data!M:M,Model_draft_inc_temp_data!F:F, "No Match")</f>
        <v>43784</v>
      </c>
      <c r="I82" s="11" cm="1">
        <f t="array" ref="I82">_xlfn.XLOOKUP(Table6[[#This Row],[Nest]]&amp;Table6[[#This Row],[Obs_date]], Model_draft_inc_temp_data!B:B&amp;Model_draft_inc_temp_data!M:M, Model_draft_inc_temp_data!I:I, "No Match")</f>
        <v>43788</v>
      </c>
      <c r="J82" s="11" cm="1">
        <f t="array" ref="J82">_xlfn.XLOOKUP(Table6[[#This Row],[Nest]]&amp;Table6[[#This Row],[Day_of_inc]],Model_draft_inc_temp_data!B:B&amp;Model_draft_inc_temp_data!O:O,Model_draft_inc_temp_data!M:M, "No Match")</f>
        <v>43795</v>
      </c>
      <c r="K82" s="16" cm="1">
        <f t="array" ref="K82">_xlfn.XLOOKUP(Table6[[#This Row],[Nest]]&amp;Table6[[#This Row],[Obs_date]],Sheet2!B:B&amp;Sheet2!E:E, Sheet2!F:F, "No Match")</f>
        <v>0.53194444444444444</v>
      </c>
      <c r="L82">
        <f>_xlfn.XLOOKUP(Table6[[#This Row],[Obs_date]],'19-20_niwa_temp_data'!B:B,'19-20_niwa_temp_data'!G:G, "No Match")</f>
        <v>16.664933243190625</v>
      </c>
      <c r="M82">
        <f>_xlfn.XLOOKUP(Table6[[#This Row],[Nest]],Model_draft_inc_temp_data!B:B,Model_draft_inc_temp_data!L:L, "No Match")</f>
        <v>15</v>
      </c>
      <c r="N82" s="16">
        <v>0</v>
      </c>
      <c r="O82">
        <f>Table6[[#This Row],[Total_on_bout_duration]]*86400</f>
        <v>0</v>
      </c>
      <c r="P82" s="16">
        <v>4.1666666666666666E-3</v>
      </c>
      <c r="Q82">
        <v>27</v>
      </c>
      <c r="R82" s="22">
        <f>Table6[[#This Row],[Total_obs_length_minutes]]*60</f>
        <v>1620</v>
      </c>
      <c r="S82">
        <f>Table6[[#This Row],[Total_on_bout_duration_seconds]]/Table6[[#This Row],[Total_obs_length_seconds]]</f>
        <v>0</v>
      </c>
    </row>
    <row r="83" spans="1:19" x14ac:dyDescent="0.35">
      <c r="A83" t="s">
        <v>9</v>
      </c>
      <c r="B83" t="s">
        <v>59</v>
      </c>
      <c r="C83" t="str">
        <f>_xlfn.XLOOKUP(Table6[[#This Row],[Nest]],Model_draft_inc_temp_data!B:B,Model_draft_inc_temp_data!C:C, "No Match")</f>
        <v>C94466</v>
      </c>
      <c r="D83">
        <f>_xlfn.XLOOKUP(Table6[[#This Row],[Female_ID]],Model_draft_inc_temp_data!C:C,Model_draft_inc_temp_data!E:E,"No Match")</f>
        <v>6</v>
      </c>
      <c r="E83">
        <f>_xlfn.XLOOKUP(Table6[[#This Row],[Nest]],Model_draft_inc_temp_data!B:B,Model_draft_inc_temp_data!H:H, "No Match")</f>
        <v>5</v>
      </c>
      <c r="F83">
        <f>_xlfn.XLOOKUP(Table6[[#This Row],[Nest]],Model_draft_inc_temp_data!B:B,Model_draft_inc_temp_data!J:J, "No Match")</f>
        <v>0</v>
      </c>
      <c r="G83">
        <v>1</v>
      </c>
      <c r="H83" s="11" cm="1">
        <f t="array" ref="H83">_xlfn.XLOOKUP(Table6[[#This Row],[Nest]]&amp;Table6[[#This Row],[Obs_date]],Model_draft_inc_temp_data!B:B&amp;Model_draft_inc_temp_data!M:M,Model_draft_inc_temp_data!F:F, "No Match")</f>
        <v>43792</v>
      </c>
      <c r="I83" s="11" cm="1">
        <f t="array" ref="I83">_xlfn.XLOOKUP(Table6[[#This Row],[Nest]]&amp;Table6[[#This Row],[Obs_date]], Model_draft_inc_temp_data!B:B&amp;Model_draft_inc_temp_data!M:M, Model_draft_inc_temp_data!I:I, "No Match")</f>
        <v>43796</v>
      </c>
      <c r="J83" s="11" cm="1">
        <f t="array" ref="J83">_xlfn.XLOOKUP(Table6[[#This Row],[Nest]]&amp;Table6[[#This Row],[Day_of_inc]],Model_draft_inc_temp_data!B:B&amp;Model_draft_inc_temp_data!O:O,Model_draft_inc_temp_data!M:M, "No Match")</f>
        <v>43796</v>
      </c>
      <c r="K83" s="16" cm="1">
        <f t="array" ref="K83">_xlfn.XLOOKUP(Table6[[#This Row],[Nest]]&amp;Table6[[#This Row],[Obs_date]],Sheet2!B:B&amp;Sheet2!E:E, Sheet2!F:F, "No Match")</f>
        <v>0.72934027777777777</v>
      </c>
      <c r="L83">
        <f>_xlfn.XLOOKUP(Table6[[#This Row],[Obs_date]],'19-20_niwa_temp_data'!B:B,'19-20_niwa_temp_data'!G:G, "No Match")</f>
        <v>17.287857010051884</v>
      </c>
      <c r="M83">
        <f>_xlfn.XLOOKUP(Table6[[#This Row],[Nest]],Model_draft_inc_temp_data!B:B,Model_draft_inc_temp_data!L:L, "No Match")</f>
        <v>14</v>
      </c>
      <c r="N83" s="16">
        <v>0</v>
      </c>
      <c r="O83">
        <f>Table6[[#This Row],[Total_on_bout_duration]]*86400</f>
        <v>0</v>
      </c>
      <c r="P83" s="16">
        <v>3.5879629629629629E-3</v>
      </c>
      <c r="Q83">
        <v>36</v>
      </c>
      <c r="R83" s="22">
        <f>Table6[[#This Row],[Total_obs_length_minutes]]*60</f>
        <v>2160</v>
      </c>
      <c r="S83">
        <f>Table6[[#This Row],[Total_on_bout_duration_seconds]]/Table6[[#This Row],[Total_obs_length_seconds]]</f>
        <v>0</v>
      </c>
    </row>
    <row r="84" spans="1:19" x14ac:dyDescent="0.35">
      <c r="A84" t="s">
        <v>9</v>
      </c>
      <c r="B84" t="s">
        <v>59</v>
      </c>
      <c r="C84" t="str">
        <f>_xlfn.XLOOKUP(Table6[[#This Row],[Nest]],Model_draft_inc_temp_data!B:B,Model_draft_inc_temp_data!C:C, "No Match")</f>
        <v>C94466</v>
      </c>
      <c r="D84">
        <f>_xlfn.XLOOKUP(Table6[[#This Row],[Female_ID]],Model_draft_inc_temp_data!C:C,Model_draft_inc_temp_data!E:E,"No Match")</f>
        <v>6</v>
      </c>
      <c r="E84">
        <f>_xlfn.XLOOKUP(Table6[[#This Row],[Nest]],Model_draft_inc_temp_data!B:B,Model_draft_inc_temp_data!H:H, "No Match")</f>
        <v>5</v>
      </c>
      <c r="F84">
        <f>_xlfn.XLOOKUP(Table6[[#This Row],[Nest]],Model_draft_inc_temp_data!B:B,Model_draft_inc_temp_data!J:J, "No Match")</f>
        <v>0</v>
      </c>
      <c r="G84">
        <v>7</v>
      </c>
      <c r="H84" s="11" cm="1">
        <f t="array" ref="H84">_xlfn.XLOOKUP(Table6[[#This Row],[Nest]]&amp;Table6[[#This Row],[Obs_date]],Model_draft_inc_temp_data!B:B&amp;Model_draft_inc_temp_data!M:M,Model_draft_inc_temp_data!F:F, "No Match")</f>
        <v>43792</v>
      </c>
      <c r="I84" s="11" cm="1">
        <f t="array" ref="I84">_xlfn.XLOOKUP(Table6[[#This Row],[Nest]]&amp;Table6[[#This Row],[Obs_date]], Model_draft_inc_temp_data!B:B&amp;Model_draft_inc_temp_data!M:M, Model_draft_inc_temp_data!I:I, "No Match")</f>
        <v>43796</v>
      </c>
      <c r="J84" s="11" cm="1">
        <f t="array" ref="J84">_xlfn.XLOOKUP(Table6[[#This Row],[Nest]]&amp;Table6[[#This Row],[Day_of_inc]],Model_draft_inc_temp_data!B:B&amp;Model_draft_inc_temp_data!O:O,Model_draft_inc_temp_data!M:M, "No Match")</f>
        <v>43802</v>
      </c>
      <c r="K84" s="16" cm="1">
        <f t="array" ref="K84">_xlfn.XLOOKUP(Table6[[#This Row],[Nest]]&amp;Table6[[#This Row],[Obs_date]],Sheet2!B:B&amp;Sheet2!E:E, Sheet2!F:F, "No Match")</f>
        <v>0.52877314814814813</v>
      </c>
      <c r="L84">
        <f>_xlfn.XLOOKUP(Table6[[#This Row],[Obs_date]],'19-20_niwa_temp_data'!B:B,'19-20_niwa_temp_data'!G:G, "No Match")</f>
        <v>18.244999314880776</v>
      </c>
      <c r="M84">
        <f>_xlfn.XLOOKUP(Table6[[#This Row],[Nest]],Model_draft_inc_temp_data!B:B,Model_draft_inc_temp_data!L:L, "No Match")</f>
        <v>14</v>
      </c>
      <c r="N84" s="16">
        <v>0</v>
      </c>
      <c r="O84">
        <f>Table6[[#This Row],[Total_on_bout_duration]]*86400</f>
        <v>0</v>
      </c>
      <c r="P84" s="16">
        <v>4.3055555555555555E-3</v>
      </c>
      <c r="Q84">
        <v>83</v>
      </c>
      <c r="R84" s="22">
        <f>Table6[[#This Row],[Total_obs_length_minutes]]*60</f>
        <v>4980</v>
      </c>
      <c r="S84">
        <f>Table6[[#This Row],[Total_on_bout_duration_seconds]]/Table6[[#This Row],[Total_obs_length_seconds]]</f>
        <v>0</v>
      </c>
    </row>
    <row r="85" spans="1:19" x14ac:dyDescent="0.35">
      <c r="A85" t="s">
        <v>9</v>
      </c>
      <c r="B85" t="s">
        <v>59</v>
      </c>
      <c r="C85" t="str">
        <f>_xlfn.XLOOKUP(Table6[[#This Row],[Nest]],Model_draft_inc_temp_data!B:B,Model_draft_inc_temp_data!C:C, "No Match")</f>
        <v>C94466</v>
      </c>
      <c r="D85">
        <f>_xlfn.XLOOKUP(Table6[[#This Row],[Female_ID]],Model_draft_inc_temp_data!C:C,Model_draft_inc_temp_data!E:E,"No Match")</f>
        <v>6</v>
      </c>
      <c r="E85">
        <f>_xlfn.XLOOKUP(Table6[[#This Row],[Nest]],Model_draft_inc_temp_data!B:B,Model_draft_inc_temp_data!H:H, "No Match")</f>
        <v>5</v>
      </c>
      <c r="F85">
        <f>_xlfn.XLOOKUP(Table6[[#This Row],[Nest]],Model_draft_inc_temp_data!B:B,Model_draft_inc_temp_data!J:J, "No Match")</f>
        <v>0</v>
      </c>
      <c r="G85">
        <v>13</v>
      </c>
      <c r="H85" s="11" cm="1">
        <f t="array" ref="H85">_xlfn.XLOOKUP(Table6[[#This Row],[Nest]]&amp;Table6[[#This Row],[Obs_date]],Model_draft_inc_temp_data!B:B&amp;Model_draft_inc_temp_data!M:M,Model_draft_inc_temp_data!F:F, "No Match")</f>
        <v>43792</v>
      </c>
      <c r="I85" s="11" cm="1">
        <f t="array" ref="I85">_xlfn.XLOOKUP(Table6[[#This Row],[Nest]]&amp;Table6[[#This Row],[Obs_date]], Model_draft_inc_temp_data!B:B&amp;Model_draft_inc_temp_data!M:M, Model_draft_inc_temp_data!I:I, "No Match")</f>
        <v>43796</v>
      </c>
      <c r="J85" s="11" cm="1">
        <f t="array" ref="J85">_xlfn.XLOOKUP(Table6[[#This Row],[Nest]]&amp;Table6[[#This Row],[Day_of_inc]],Model_draft_inc_temp_data!B:B&amp;Model_draft_inc_temp_data!O:O,Model_draft_inc_temp_data!M:M, "No Match")</f>
        <v>43808</v>
      </c>
      <c r="K85" s="16" cm="1">
        <f t="array" ref="K85">_xlfn.XLOOKUP(Table6[[#This Row],[Nest]]&amp;Table6[[#This Row],[Obs_date]],Sheet2!B:B&amp;Sheet2!E:E, Sheet2!F:F, "No Match")</f>
        <v>0.40856481481481483</v>
      </c>
      <c r="L85">
        <f>_xlfn.XLOOKUP(Table6[[#This Row],[Obs_date]],'19-20_niwa_temp_data'!B:B,'19-20_niwa_temp_data'!G:G, "No Match")</f>
        <v>17.951044537853498</v>
      </c>
      <c r="M85">
        <f>_xlfn.XLOOKUP(Table6[[#This Row],[Nest]],Model_draft_inc_temp_data!B:B,Model_draft_inc_temp_data!L:L, "No Match")</f>
        <v>14</v>
      </c>
      <c r="N85" s="16">
        <v>5.8680555555555552E-3</v>
      </c>
      <c r="O85">
        <f>Table6[[#This Row],[Total_on_bout_duration]]*86400</f>
        <v>506.99999999999994</v>
      </c>
      <c r="P85" s="16">
        <v>3.3449074074074076E-3</v>
      </c>
      <c r="Q85">
        <v>63</v>
      </c>
      <c r="R85" s="22">
        <f>Table6[[#This Row],[Total_obs_length_minutes]]*60</f>
        <v>3780</v>
      </c>
      <c r="S85">
        <f>Table6[[#This Row],[Total_on_bout_duration_seconds]]/Table6[[#This Row],[Total_obs_length_seconds]]</f>
        <v>0.13412698412698412</v>
      </c>
    </row>
    <row r="86" spans="1:19" x14ac:dyDescent="0.35">
      <c r="A86" t="s">
        <v>9</v>
      </c>
      <c r="B86" t="s">
        <v>70</v>
      </c>
      <c r="C86" t="str">
        <f>_xlfn.XLOOKUP(Table6[[#This Row],[Nest]],Model_draft_inc_temp_data!B:B,Model_draft_inc_temp_data!C:C, "No Match")</f>
        <v>CP12905</v>
      </c>
      <c r="D86">
        <f>_xlfn.XLOOKUP(Table6[[#This Row],[Female_ID]],Model_draft_inc_temp_data!C:C,Model_draft_inc_temp_data!E:E,"No Match")</f>
        <v>2</v>
      </c>
      <c r="E86">
        <f>_xlfn.XLOOKUP(Table6[[#This Row],[Nest]],Model_draft_inc_temp_data!B:B,Model_draft_inc_temp_data!H:H, "No Match")</f>
        <v>4</v>
      </c>
      <c r="F86">
        <f>_xlfn.XLOOKUP(Table6[[#This Row],[Nest]],Model_draft_inc_temp_data!B:B,Model_draft_inc_temp_data!J:J, "No Match")</f>
        <v>0</v>
      </c>
      <c r="G86">
        <v>1</v>
      </c>
      <c r="H86" s="11" cm="1">
        <f t="array" ref="H86">_xlfn.XLOOKUP(Table6[[#This Row],[Nest]]&amp;Table6[[#This Row],[Obs_date]],Model_draft_inc_temp_data!B:B&amp;Model_draft_inc_temp_data!M:M,Model_draft_inc_temp_data!F:F, "No Match")</f>
        <v>43802</v>
      </c>
      <c r="I86" s="11" cm="1">
        <f t="array" ref="I86">_xlfn.XLOOKUP(Table6[[#This Row],[Nest]]&amp;Table6[[#This Row],[Obs_date]], Model_draft_inc_temp_data!B:B&amp;Model_draft_inc_temp_data!M:M, Model_draft_inc_temp_data!I:I, "No Match")</f>
        <v>43805</v>
      </c>
      <c r="J86" s="11" cm="1">
        <f t="array" ref="J86">_xlfn.XLOOKUP(Table6[[#This Row],[Nest]]&amp;Table6[[#This Row],[Day_of_inc]],Model_draft_inc_temp_data!B:B&amp;Model_draft_inc_temp_data!O:O,Model_draft_inc_temp_data!M:M, "No Match")</f>
        <v>43806</v>
      </c>
      <c r="K86" s="16" cm="1">
        <f t="array" ref="K86">_xlfn.XLOOKUP(Table6[[#This Row],[Nest]]&amp;Table6[[#This Row],[Obs_date]],Sheet2!B:B&amp;Sheet2!E:E, Sheet2!F:F, "No Match")</f>
        <v>0.64645833333333336</v>
      </c>
      <c r="L86">
        <f>_xlfn.XLOOKUP(Table6[[#This Row],[Obs_date]],'19-20_niwa_temp_data'!B:B,'19-20_niwa_temp_data'!G:G, "No Match")</f>
        <v>18.187358246870268</v>
      </c>
      <c r="M86">
        <f>_xlfn.XLOOKUP(Table6[[#This Row],[Nest]],Model_draft_inc_temp_data!B:B,Model_draft_inc_temp_data!L:L, "No Match")</f>
        <v>14</v>
      </c>
      <c r="N86" s="16">
        <v>0</v>
      </c>
      <c r="O86">
        <f>Table6[[#This Row],[Total_on_bout_duration]]*86400</f>
        <v>0</v>
      </c>
      <c r="P86" s="16">
        <v>5.8680555555555552E-3</v>
      </c>
      <c r="Q86">
        <v>60</v>
      </c>
      <c r="R86" s="22">
        <f>Table6[[#This Row],[Total_obs_length_minutes]]*60</f>
        <v>3600</v>
      </c>
      <c r="S86">
        <f>Table6[[#This Row],[Total_on_bout_duration_seconds]]/Table6[[#This Row],[Total_obs_length_seconds]]</f>
        <v>0</v>
      </c>
    </row>
    <row r="87" spans="1:19" x14ac:dyDescent="0.35">
      <c r="A87" t="s">
        <v>9</v>
      </c>
      <c r="B87" t="s">
        <v>48</v>
      </c>
      <c r="C87" t="str">
        <f>_xlfn.XLOOKUP(Table6[[#This Row],[Nest]],Model_draft_inc_temp_data!B:B,Model_draft_inc_temp_data!C:C, "No Match")</f>
        <v>CP13084</v>
      </c>
      <c r="D87">
        <f>_xlfn.XLOOKUP(Table6[[#This Row],[Female_ID]],Model_draft_inc_temp_data!C:C,Model_draft_inc_temp_data!E:E,"No Match")</f>
        <v>1</v>
      </c>
      <c r="E87">
        <f>_xlfn.XLOOKUP(Table6[[#This Row],[Nest]],Model_draft_inc_temp_data!B:B,Model_draft_inc_temp_data!H:H, "No Match")</f>
        <v>4</v>
      </c>
      <c r="F87">
        <f>_xlfn.XLOOKUP(Table6[[#This Row],[Nest]],Model_draft_inc_temp_data!B:B,Model_draft_inc_temp_data!J:J, "No Match")</f>
        <v>1</v>
      </c>
      <c r="G87">
        <v>1</v>
      </c>
      <c r="H87" s="11" cm="1">
        <f t="array" ref="H87">_xlfn.XLOOKUP(Table6[[#This Row],[Nest]]&amp;Table6[[#This Row],[Obs_date]],Model_draft_inc_temp_data!B:B&amp;Model_draft_inc_temp_data!M:M,Model_draft_inc_temp_data!F:F, "No Match")</f>
        <v>43784</v>
      </c>
      <c r="I87" s="11" cm="1">
        <f t="array" ref="I87">_xlfn.XLOOKUP(Table6[[#This Row],[Nest]]&amp;Table6[[#This Row],[Obs_date]], Model_draft_inc_temp_data!B:B&amp;Model_draft_inc_temp_data!M:M, Model_draft_inc_temp_data!I:I, "No Match")</f>
        <v>43788</v>
      </c>
      <c r="J87" s="11" cm="1">
        <f t="array" ref="J87">_xlfn.XLOOKUP(Table6[[#This Row],[Nest]]&amp;Table6[[#This Row],[Day_of_inc]],Model_draft_inc_temp_data!B:B&amp;Model_draft_inc_temp_data!O:O,Model_draft_inc_temp_data!M:M, "No Match")</f>
        <v>43789</v>
      </c>
      <c r="K87" s="16" cm="1">
        <f t="array" ref="K87">_xlfn.XLOOKUP(Table6[[#This Row],[Nest]]&amp;Table6[[#This Row],[Obs_date]],Sheet2!B:B&amp;Sheet2!E:E, Sheet2!F:F, "No Match")</f>
        <v>0.57385416666666667</v>
      </c>
      <c r="L87">
        <f>_xlfn.XLOOKUP(Table6[[#This Row],[Obs_date]],'19-20_niwa_temp_data'!B:B,'19-20_niwa_temp_data'!G:G, "No Match")</f>
        <v>13.516656391282572</v>
      </c>
      <c r="M87">
        <f>_xlfn.XLOOKUP(Table6[[#This Row],[Nest]],Model_draft_inc_temp_data!B:B,Model_draft_inc_temp_data!L:L, "No Match")</f>
        <v>15</v>
      </c>
      <c r="N87" s="16">
        <v>3.3796296296296296E-3</v>
      </c>
      <c r="O87">
        <f>Table6[[#This Row],[Total_on_bout_duration]]*86400</f>
        <v>292</v>
      </c>
      <c r="P87" s="16">
        <v>1.8391203703703705E-2</v>
      </c>
      <c r="Q87">
        <v>58</v>
      </c>
      <c r="R87" s="22">
        <f>Table6[[#This Row],[Total_obs_length_minutes]]*60</f>
        <v>3480</v>
      </c>
      <c r="S87">
        <f>Table6[[#This Row],[Total_on_bout_duration_seconds]]/Table6[[#This Row],[Total_obs_length_seconds]]</f>
        <v>8.39080459770115E-2</v>
      </c>
    </row>
    <row r="88" spans="1:19" x14ac:dyDescent="0.35">
      <c r="A88" t="s">
        <v>9</v>
      </c>
      <c r="B88" t="s">
        <v>48</v>
      </c>
      <c r="C88" t="str">
        <f>_xlfn.XLOOKUP(Table6[[#This Row],[Nest]],Model_draft_inc_temp_data!B:B,Model_draft_inc_temp_data!C:C, "No Match")</f>
        <v>CP13084</v>
      </c>
      <c r="D88">
        <f>_xlfn.XLOOKUP(Table6[[#This Row],[Female_ID]],Model_draft_inc_temp_data!C:C,Model_draft_inc_temp_data!E:E,"No Match")</f>
        <v>1</v>
      </c>
      <c r="E88">
        <f>_xlfn.XLOOKUP(Table6[[#This Row],[Nest]],Model_draft_inc_temp_data!B:B,Model_draft_inc_temp_data!H:H, "No Match")</f>
        <v>4</v>
      </c>
      <c r="F88">
        <f>_xlfn.XLOOKUP(Table6[[#This Row],[Nest]],Model_draft_inc_temp_data!B:B,Model_draft_inc_temp_data!J:J, "No Match")</f>
        <v>1</v>
      </c>
      <c r="G88">
        <v>13</v>
      </c>
      <c r="H88" s="11" cm="1">
        <f t="array" ref="H88">_xlfn.XLOOKUP(Table6[[#This Row],[Nest]]&amp;Table6[[#This Row],[Obs_date]],Model_draft_inc_temp_data!B:B&amp;Model_draft_inc_temp_data!M:M,Model_draft_inc_temp_data!F:F, "No Match")</f>
        <v>43784</v>
      </c>
      <c r="I88" s="11" cm="1">
        <f t="array" ref="I88">_xlfn.XLOOKUP(Table6[[#This Row],[Nest]]&amp;Table6[[#This Row],[Obs_date]], Model_draft_inc_temp_data!B:B&amp;Model_draft_inc_temp_data!M:M, Model_draft_inc_temp_data!I:I, "No Match")</f>
        <v>43788</v>
      </c>
      <c r="J88" s="11" cm="1">
        <f t="array" ref="J88">_xlfn.XLOOKUP(Table6[[#This Row],[Nest]]&amp;Table6[[#This Row],[Day_of_inc]],Model_draft_inc_temp_data!B:B&amp;Model_draft_inc_temp_data!O:O,Model_draft_inc_temp_data!M:M, "No Match")</f>
        <v>43801</v>
      </c>
      <c r="K88" s="16" cm="1">
        <f t="array" ref="K88">_xlfn.XLOOKUP(Table6[[#This Row],[Nest]]&amp;Table6[[#This Row],[Obs_date]],Sheet2!B:B&amp;Sheet2!E:E, Sheet2!F:F, "No Match")</f>
        <v>0.44105324074074076</v>
      </c>
      <c r="L88">
        <f>_xlfn.XLOOKUP(Table6[[#This Row],[Obs_date]],'19-20_niwa_temp_data'!B:B,'19-20_niwa_temp_data'!G:G, "No Match")</f>
        <v>18.228549037155975</v>
      </c>
      <c r="M88">
        <f>_xlfn.XLOOKUP(Table6[[#This Row],[Nest]],Model_draft_inc_temp_data!B:B,Model_draft_inc_temp_data!L:L, "No Match")</f>
        <v>15</v>
      </c>
      <c r="N88" s="16">
        <v>3.8715277777777779E-2</v>
      </c>
      <c r="O88">
        <f>Table6[[#This Row],[Total_on_bout_duration]]*86400</f>
        <v>3345</v>
      </c>
      <c r="P88" s="16">
        <v>0</v>
      </c>
      <c r="Q88">
        <v>65</v>
      </c>
      <c r="R88" s="22">
        <f>Table6[[#This Row],[Total_obs_length_minutes]]*60</f>
        <v>3900</v>
      </c>
      <c r="S88">
        <f>Table6[[#This Row],[Total_on_bout_duration_seconds]]/Table6[[#This Row],[Total_obs_length_seconds]]</f>
        <v>0.85769230769230764</v>
      </c>
    </row>
    <row r="89" spans="1:19" x14ac:dyDescent="0.35">
      <c r="A89" t="s">
        <v>9</v>
      </c>
      <c r="B89" t="s">
        <v>52</v>
      </c>
      <c r="C89" t="str">
        <f>_xlfn.XLOOKUP(Table6[[#This Row],[Nest]],Model_draft_inc_temp_data!B:B,Model_draft_inc_temp_data!C:C, "No Match")</f>
        <v>CP13047</v>
      </c>
      <c r="D89">
        <f>_xlfn.XLOOKUP(Table6[[#This Row],[Female_ID]],Model_draft_inc_temp_data!C:C,Model_draft_inc_temp_data!E:E,"No Match")</f>
        <v>1</v>
      </c>
      <c r="E89">
        <f>_xlfn.XLOOKUP(Table6[[#This Row],[Nest]],Model_draft_inc_temp_data!B:B,Model_draft_inc_temp_data!H:H, "No Match")</f>
        <v>4</v>
      </c>
      <c r="F89">
        <f>_xlfn.XLOOKUP(Table6[[#This Row],[Nest]],Model_draft_inc_temp_data!B:B,Model_draft_inc_temp_data!J:J, "No Match")</f>
        <v>0</v>
      </c>
      <c r="G89">
        <v>1</v>
      </c>
      <c r="H89" s="11" cm="1">
        <f t="array" ref="H89">_xlfn.XLOOKUP(Table6[[#This Row],[Nest]]&amp;Table6[[#This Row],[Obs_date]],Model_draft_inc_temp_data!B:B&amp;Model_draft_inc_temp_data!M:M,Model_draft_inc_temp_data!F:F, "No Match")</f>
        <v>43789</v>
      </c>
      <c r="I89" s="11" cm="1">
        <f t="array" ref="I89">_xlfn.XLOOKUP(Table6[[#This Row],[Nest]]&amp;Table6[[#This Row],[Obs_date]], Model_draft_inc_temp_data!B:B&amp;Model_draft_inc_temp_data!M:M, Model_draft_inc_temp_data!I:I, "No Match")</f>
        <v>43792</v>
      </c>
      <c r="J89" s="11" cm="1">
        <f t="array" ref="J89">_xlfn.XLOOKUP(Table6[[#This Row],[Nest]]&amp;Table6[[#This Row],[Day_of_inc]],Model_draft_inc_temp_data!B:B&amp;Model_draft_inc_temp_data!O:O,Model_draft_inc_temp_data!M:M, "No Match")</f>
        <v>43793</v>
      </c>
      <c r="K89" s="16" cm="1">
        <f t="array" ref="K89">_xlfn.XLOOKUP(Table6[[#This Row],[Nest]]&amp;Table6[[#This Row],[Obs_date]],Sheet2!B:B&amp;Sheet2!E:E, Sheet2!F:F, "No Match")</f>
        <v>0.624537037037037</v>
      </c>
      <c r="L89">
        <f>_xlfn.XLOOKUP(Table6[[#This Row],[Obs_date]],'19-20_niwa_temp_data'!B:B,'19-20_niwa_temp_data'!G:G, "No Match")</f>
        <v>16.778557744931476</v>
      </c>
      <c r="M89">
        <f>_xlfn.XLOOKUP(Table6[[#This Row],[Nest]],Model_draft_inc_temp_data!B:B,Model_draft_inc_temp_data!L:L, "No Match")</f>
        <v>15</v>
      </c>
      <c r="N89" s="16">
        <v>1.4965277777777777E-2</v>
      </c>
      <c r="O89">
        <f>Table6[[#This Row],[Total_on_bout_duration]]*86400</f>
        <v>1293</v>
      </c>
      <c r="P89" s="16">
        <v>0</v>
      </c>
      <c r="Q89">
        <v>17</v>
      </c>
      <c r="R89" s="22">
        <f>Table6[[#This Row],[Total_obs_length_minutes]]*60</f>
        <v>1020</v>
      </c>
      <c r="S89">
        <f>Table6[[#This Row],[Total_on_bout_duration_seconds]]/Table6[[#This Row],[Total_obs_length_seconds]]</f>
        <v>1.2676470588235293</v>
      </c>
    </row>
    <row r="90" spans="1:19" x14ac:dyDescent="0.35">
      <c r="A90" t="s">
        <v>9</v>
      </c>
      <c r="B90" t="s">
        <v>52</v>
      </c>
      <c r="C90" t="str">
        <f>_xlfn.XLOOKUP(Table6[[#This Row],[Nest]],Model_draft_inc_temp_data!B:B,Model_draft_inc_temp_data!C:C, "No Match")</f>
        <v>CP13047</v>
      </c>
      <c r="D90">
        <f>_xlfn.XLOOKUP(Table6[[#This Row],[Female_ID]],Model_draft_inc_temp_data!C:C,Model_draft_inc_temp_data!E:E,"No Match")</f>
        <v>1</v>
      </c>
      <c r="E90">
        <f>_xlfn.XLOOKUP(Table6[[#This Row],[Nest]],Model_draft_inc_temp_data!B:B,Model_draft_inc_temp_data!H:H, "No Match")</f>
        <v>4</v>
      </c>
      <c r="F90">
        <f>_xlfn.XLOOKUP(Table6[[#This Row],[Nest]],Model_draft_inc_temp_data!B:B,Model_draft_inc_temp_data!J:J, "No Match")</f>
        <v>0</v>
      </c>
      <c r="G90">
        <v>13</v>
      </c>
      <c r="H90" s="11" cm="1">
        <f t="array" ref="H90">_xlfn.XLOOKUP(Table6[[#This Row],[Nest]]&amp;Table6[[#This Row],[Obs_date]],Model_draft_inc_temp_data!B:B&amp;Model_draft_inc_temp_data!M:M,Model_draft_inc_temp_data!F:F, "No Match")</f>
        <v>43789</v>
      </c>
      <c r="I90" s="11" cm="1">
        <f t="array" ref="I90">_xlfn.XLOOKUP(Table6[[#This Row],[Nest]]&amp;Table6[[#This Row],[Obs_date]], Model_draft_inc_temp_data!B:B&amp;Model_draft_inc_temp_data!M:M, Model_draft_inc_temp_data!I:I, "No Match")</f>
        <v>43792</v>
      </c>
      <c r="J90" s="11" cm="1">
        <f t="array" ref="J90">_xlfn.XLOOKUP(Table6[[#This Row],[Nest]]&amp;Table6[[#This Row],[Day_of_inc]],Model_draft_inc_temp_data!B:B&amp;Model_draft_inc_temp_data!O:O,Model_draft_inc_temp_data!M:M, "No Match")</f>
        <v>43804</v>
      </c>
      <c r="K90" s="16" cm="1">
        <f t="array" ref="K90">_xlfn.XLOOKUP(Table6[[#This Row],[Nest]]&amp;Table6[[#This Row],[Obs_date]],Sheet2!B:B&amp;Sheet2!E:E, Sheet2!F:F, "No Match")</f>
        <v>0.61738425925925922</v>
      </c>
      <c r="L90">
        <f>_xlfn.XLOOKUP(Table6[[#This Row],[Obs_date]],'19-20_niwa_temp_data'!B:B,'19-20_niwa_temp_data'!G:G, "No Match")</f>
        <v>17.28930305130892</v>
      </c>
      <c r="M90">
        <f>_xlfn.XLOOKUP(Table6[[#This Row],[Nest]],Model_draft_inc_temp_data!B:B,Model_draft_inc_temp_data!L:L, "No Match")</f>
        <v>15</v>
      </c>
      <c r="N90" s="16">
        <v>1.8032407407407407E-2</v>
      </c>
      <c r="O90">
        <f>Table6[[#This Row],[Total_on_bout_duration]]*86400</f>
        <v>1558</v>
      </c>
      <c r="P90" s="16">
        <v>9.6874999999999999E-3</v>
      </c>
      <c r="Q90">
        <v>63</v>
      </c>
      <c r="R90" s="22">
        <f>Table6[[#This Row],[Total_obs_length_minutes]]*60</f>
        <v>3780</v>
      </c>
      <c r="S90">
        <f>Table6[[#This Row],[Total_on_bout_duration_seconds]]/Table6[[#This Row],[Total_obs_length_seconds]]</f>
        <v>0.41216931216931219</v>
      </c>
    </row>
    <row r="91" spans="1:19" x14ac:dyDescent="0.35">
      <c r="A91" t="s">
        <v>9</v>
      </c>
      <c r="B91" t="s">
        <v>36</v>
      </c>
      <c r="C91" t="str">
        <f>_xlfn.XLOOKUP(Table6[[#This Row],[Nest]],Model_draft_inc_temp_data!B:B,Model_draft_inc_temp_data!C:C, "No Match")</f>
        <v>CP8238</v>
      </c>
      <c r="D91">
        <f>_xlfn.XLOOKUP(Table6[[#This Row],[Female_ID]],Model_draft_inc_temp_data!C:C,Model_draft_inc_temp_data!E:E,"No Match")</f>
        <v>4</v>
      </c>
      <c r="E91">
        <f>_xlfn.XLOOKUP(Table6[[#This Row],[Nest]],Model_draft_inc_temp_data!B:B,Model_draft_inc_temp_data!H:H, "No Match")</f>
        <v>5</v>
      </c>
      <c r="F91">
        <f>_xlfn.XLOOKUP(Table6[[#This Row],[Nest]],Model_draft_inc_temp_data!B:B,Model_draft_inc_temp_data!J:J, "No Match")</f>
        <v>0</v>
      </c>
      <c r="G91">
        <v>1</v>
      </c>
      <c r="H91" s="11" cm="1">
        <f t="array" ref="H91">_xlfn.XLOOKUP(Table6[[#This Row],[Nest]]&amp;Table6[[#This Row],[Obs_date]],Model_draft_inc_temp_data!B:B&amp;Model_draft_inc_temp_data!M:M,Model_draft_inc_temp_data!F:F, "No Match")</f>
        <v>43779</v>
      </c>
      <c r="I91" s="11" cm="1">
        <f t="array" ref="I91">_xlfn.XLOOKUP(Table6[[#This Row],[Nest]]&amp;Table6[[#This Row],[Obs_date]], Model_draft_inc_temp_data!B:B&amp;Model_draft_inc_temp_data!M:M, Model_draft_inc_temp_data!I:I, "No Match")</f>
        <v>43783</v>
      </c>
      <c r="J91" s="11" cm="1">
        <f t="array" ref="J91">_xlfn.XLOOKUP(Table6[[#This Row],[Nest]]&amp;Table6[[#This Row],[Day_of_inc]],Model_draft_inc_temp_data!B:B&amp;Model_draft_inc_temp_data!O:O,Model_draft_inc_temp_data!M:M, "No Match")</f>
        <v>43783</v>
      </c>
      <c r="K91" s="16" cm="1">
        <f t="array" ref="K91">_xlfn.XLOOKUP(Table6[[#This Row],[Nest]]&amp;Table6[[#This Row],[Obs_date]],Sheet2!B:B&amp;Sheet2!E:E, Sheet2!F:F, "No Match")</f>
        <v>0.69420138888888894</v>
      </c>
      <c r="L91">
        <f>_xlfn.XLOOKUP(Table6[[#This Row],[Obs_date]],'19-20_niwa_temp_data'!B:B,'19-20_niwa_temp_data'!G:G, "No Match")</f>
        <v>16.095962226595837</v>
      </c>
      <c r="M91">
        <f>_xlfn.XLOOKUP(Table6[[#This Row],[Nest]],Model_draft_inc_temp_data!B:B,Model_draft_inc_temp_data!L:L, "No Match")</f>
        <v>14</v>
      </c>
      <c r="N91" s="16">
        <v>1.3310185185185185E-3</v>
      </c>
      <c r="O91">
        <f>Table6[[#This Row],[Total_on_bout_duration]]*86400</f>
        <v>115</v>
      </c>
      <c r="P91" s="16">
        <v>1.4699074074074074E-3</v>
      </c>
      <c r="Q91">
        <v>60</v>
      </c>
      <c r="R91" s="22">
        <f>Table6[[#This Row],[Total_obs_length_minutes]]*60</f>
        <v>3600</v>
      </c>
      <c r="S91">
        <f>Table6[[#This Row],[Total_on_bout_duration_seconds]]/Table6[[#This Row],[Total_obs_length_seconds]]</f>
        <v>3.1944444444444442E-2</v>
      </c>
    </row>
    <row r="92" spans="1:19" x14ac:dyDescent="0.35">
      <c r="A92" t="s">
        <v>9</v>
      </c>
      <c r="B92" t="s">
        <v>36</v>
      </c>
      <c r="C92" t="str">
        <f>_xlfn.XLOOKUP(Table6[[#This Row],[Nest]],Model_draft_inc_temp_data!B:B,Model_draft_inc_temp_data!C:C, "No Match")</f>
        <v>CP8238</v>
      </c>
      <c r="D92">
        <f>_xlfn.XLOOKUP(Table6[[#This Row],[Female_ID]],Model_draft_inc_temp_data!C:C,Model_draft_inc_temp_data!E:E,"No Match")</f>
        <v>4</v>
      </c>
      <c r="E92">
        <f>_xlfn.XLOOKUP(Table6[[#This Row],[Nest]],Model_draft_inc_temp_data!B:B,Model_draft_inc_temp_data!H:H, "No Match")</f>
        <v>5</v>
      </c>
      <c r="F92">
        <f>_xlfn.XLOOKUP(Table6[[#This Row],[Nest]],Model_draft_inc_temp_data!B:B,Model_draft_inc_temp_data!J:J, "No Match")</f>
        <v>0</v>
      </c>
      <c r="G92">
        <v>7</v>
      </c>
      <c r="H92" s="11" cm="1">
        <f t="array" ref="H92">_xlfn.XLOOKUP(Table6[[#This Row],[Nest]]&amp;Table6[[#This Row],[Obs_date]],Model_draft_inc_temp_data!B:B&amp;Model_draft_inc_temp_data!M:M,Model_draft_inc_temp_data!F:F, "No Match")</f>
        <v>43779</v>
      </c>
      <c r="I92" s="11" cm="1">
        <f t="array" ref="I92">_xlfn.XLOOKUP(Table6[[#This Row],[Nest]]&amp;Table6[[#This Row],[Obs_date]], Model_draft_inc_temp_data!B:B&amp;Model_draft_inc_temp_data!M:M, Model_draft_inc_temp_data!I:I, "No Match")</f>
        <v>43783</v>
      </c>
      <c r="J92" s="11" cm="1">
        <f t="array" ref="J92">_xlfn.XLOOKUP(Table6[[#This Row],[Nest]]&amp;Table6[[#This Row],[Day_of_inc]],Model_draft_inc_temp_data!B:B&amp;Model_draft_inc_temp_data!O:O,Model_draft_inc_temp_data!M:M, "No Match")</f>
        <v>43790</v>
      </c>
      <c r="K92" s="16" cm="1">
        <f t="array" ref="K92">_xlfn.XLOOKUP(Table6[[#This Row],[Nest]]&amp;Table6[[#This Row],[Obs_date]],Sheet2!B:B&amp;Sheet2!E:E, Sheet2!F:F, "No Match")</f>
        <v>0.57193287037037033</v>
      </c>
      <c r="L92">
        <f>_xlfn.XLOOKUP(Table6[[#This Row],[Obs_date]],'19-20_niwa_temp_data'!B:B,'19-20_niwa_temp_data'!G:G, "No Match")</f>
        <v>16.25176913446656</v>
      </c>
      <c r="M92">
        <f>_xlfn.XLOOKUP(Table6[[#This Row],[Nest]],Model_draft_inc_temp_data!B:B,Model_draft_inc_temp_data!L:L, "No Match")</f>
        <v>14</v>
      </c>
      <c r="N92" s="16">
        <v>3.2291666666666666E-3</v>
      </c>
      <c r="O92">
        <f>Table6[[#This Row],[Total_on_bout_duration]]*86400</f>
        <v>279</v>
      </c>
      <c r="P92" s="16">
        <v>7.4537037037037037E-3</v>
      </c>
      <c r="Q92">
        <v>15.383333333333333</v>
      </c>
      <c r="R92" s="22">
        <f>Table6[[#This Row],[Total_obs_length_minutes]]*60</f>
        <v>923</v>
      </c>
      <c r="S92">
        <f>Table6[[#This Row],[Total_on_bout_duration_seconds]]/Table6[[#This Row],[Total_obs_length_seconds]]</f>
        <v>0.30227518959913324</v>
      </c>
    </row>
    <row r="93" spans="1:19" x14ac:dyDescent="0.35">
      <c r="A93" t="s">
        <v>9</v>
      </c>
      <c r="B93" t="s">
        <v>36</v>
      </c>
      <c r="C93" t="str">
        <f>_xlfn.XLOOKUP(Table6[[#This Row],[Nest]],Model_draft_inc_temp_data!B:B,Model_draft_inc_temp_data!C:C, "No Match")</f>
        <v>CP8238</v>
      </c>
      <c r="D93">
        <f>_xlfn.XLOOKUP(Table6[[#This Row],[Female_ID]],Model_draft_inc_temp_data!C:C,Model_draft_inc_temp_data!E:E,"No Match")</f>
        <v>4</v>
      </c>
      <c r="E93">
        <f>_xlfn.XLOOKUP(Table6[[#This Row],[Nest]],Model_draft_inc_temp_data!B:B,Model_draft_inc_temp_data!H:H, "No Match")</f>
        <v>5</v>
      </c>
      <c r="F93">
        <f>_xlfn.XLOOKUP(Table6[[#This Row],[Nest]],Model_draft_inc_temp_data!B:B,Model_draft_inc_temp_data!J:J, "No Match")</f>
        <v>0</v>
      </c>
      <c r="G93">
        <v>13</v>
      </c>
      <c r="H93" s="11" cm="1">
        <f t="array" ref="H93">_xlfn.XLOOKUP(Table6[[#This Row],[Nest]]&amp;Table6[[#This Row],[Obs_date]],Model_draft_inc_temp_data!B:B&amp;Model_draft_inc_temp_data!M:M,Model_draft_inc_temp_data!F:F, "No Match")</f>
        <v>43779</v>
      </c>
      <c r="I93" s="11" cm="1">
        <f t="array" ref="I93">_xlfn.XLOOKUP(Table6[[#This Row],[Nest]]&amp;Table6[[#This Row],[Obs_date]], Model_draft_inc_temp_data!B:B&amp;Model_draft_inc_temp_data!M:M, Model_draft_inc_temp_data!I:I, "No Match")</f>
        <v>43783</v>
      </c>
      <c r="J93" s="11" cm="1">
        <f t="array" ref="J93">_xlfn.XLOOKUP(Table6[[#This Row],[Nest]]&amp;Table6[[#This Row],[Day_of_inc]],Model_draft_inc_temp_data!B:B&amp;Model_draft_inc_temp_data!O:O,Model_draft_inc_temp_data!M:M, "No Match")</f>
        <v>43796</v>
      </c>
      <c r="K93" s="16" cm="1">
        <f t="array" ref="K93">_xlfn.XLOOKUP(Table6[[#This Row],[Nest]]&amp;Table6[[#This Row],[Obs_date]],Sheet2!B:B&amp;Sheet2!E:E, Sheet2!F:F, "No Match")</f>
        <v>0.40552083333333333</v>
      </c>
      <c r="L93">
        <f>_xlfn.XLOOKUP(Table6[[#This Row],[Obs_date]],'19-20_niwa_temp_data'!B:B,'19-20_niwa_temp_data'!G:G, "No Match")</f>
        <v>17.287857010051884</v>
      </c>
      <c r="M93">
        <f>_xlfn.XLOOKUP(Table6[[#This Row],[Nest]],Model_draft_inc_temp_data!B:B,Model_draft_inc_temp_data!L:L, "No Match")</f>
        <v>14</v>
      </c>
      <c r="N93" s="16">
        <v>7.0127314814814809E-2</v>
      </c>
      <c r="O93">
        <f>Table6[[#This Row],[Total_on_bout_duration]]*86400</f>
        <v>6058.9999999999991</v>
      </c>
      <c r="P93" s="16">
        <v>0</v>
      </c>
      <c r="Q93">
        <v>57</v>
      </c>
      <c r="R93" s="22">
        <f>Table6[[#This Row],[Total_obs_length_minutes]]*60</f>
        <v>3420</v>
      </c>
      <c r="S93">
        <f>Table6[[#This Row],[Total_on_bout_duration_seconds]]/Table6[[#This Row],[Total_obs_length_seconds]]</f>
        <v>1.7716374269005846</v>
      </c>
    </row>
    <row r="94" spans="1:19" x14ac:dyDescent="0.35">
      <c r="A94" t="s">
        <v>9</v>
      </c>
      <c r="B94" t="s">
        <v>13</v>
      </c>
      <c r="C94" t="str">
        <f>_xlfn.XLOOKUP(Table6[[#This Row],[Nest]],Model_draft_inc_temp_data!B:B,Model_draft_inc_temp_data!C:C, "No Match")</f>
        <v>CP11820</v>
      </c>
      <c r="D94">
        <f>_xlfn.XLOOKUP(Table6[[#This Row],[Female_ID]],Model_draft_inc_temp_data!C:C,Model_draft_inc_temp_data!E:E,"No Match")</f>
        <v>3</v>
      </c>
      <c r="E94">
        <f>_xlfn.XLOOKUP(Table6[[#This Row],[Nest]],Model_draft_inc_temp_data!B:B,Model_draft_inc_temp_data!H:H, "No Match")</f>
        <v>4</v>
      </c>
      <c r="F94">
        <f>_xlfn.XLOOKUP(Table6[[#This Row],[Nest]],Model_draft_inc_temp_data!B:B,Model_draft_inc_temp_data!J:J, "No Match")</f>
        <v>0</v>
      </c>
      <c r="G94">
        <v>7</v>
      </c>
      <c r="H94" s="11" cm="1">
        <f t="array" ref="H94">_xlfn.XLOOKUP(Table6[[#This Row],[Nest]]&amp;Table6[[#This Row],[Obs_date]],Model_draft_inc_temp_data!B:B&amp;Model_draft_inc_temp_data!M:M,Model_draft_inc_temp_data!F:F, "No Match")</f>
        <v>43769</v>
      </c>
      <c r="I94" s="11" cm="1">
        <f t="array" ref="I94">_xlfn.XLOOKUP(Table6[[#This Row],[Nest]]&amp;Table6[[#This Row],[Obs_date]], Model_draft_inc_temp_data!B:B&amp;Model_draft_inc_temp_data!M:M, Model_draft_inc_temp_data!I:I, "No Match")</f>
        <v>43772</v>
      </c>
      <c r="J94" s="11" cm="1">
        <f t="array" ref="J94">_xlfn.XLOOKUP(Table6[[#This Row],[Nest]]&amp;Table6[[#This Row],[Day_of_inc]],Model_draft_inc_temp_data!B:B&amp;Model_draft_inc_temp_data!O:O,Model_draft_inc_temp_data!M:M, "No Match")</f>
        <v>43779</v>
      </c>
      <c r="K94" s="16" cm="1">
        <f t="array" ref="K94">_xlfn.XLOOKUP(Table6[[#This Row],[Nest]]&amp;Table6[[#This Row],[Obs_date]],Sheet2!B:B&amp;Sheet2!E:E, Sheet2!F:F, "No Match")</f>
        <v>0.56479166666666669</v>
      </c>
      <c r="L94">
        <f>_xlfn.XLOOKUP(Table6[[#This Row],[Obs_date]],'19-20_niwa_temp_data'!B:B,'19-20_niwa_temp_data'!G:G, "No Match")</f>
        <v>17.618172436436193</v>
      </c>
      <c r="M94">
        <f>_xlfn.XLOOKUP(Table6[[#This Row],[Nest]],Model_draft_inc_temp_data!B:B,Model_draft_inc_temp_data!L:L, "No Match")</f>
        <v>14</v>
      </c>
      <c r="N94" s="16">
        <v>1.7939814814814815E-3</v>
      </c>
      <c r="O94">
        <f>Table6[[#This Row],[Total_on_bout_duration]]*86400</f>
        <v>155</v>
      </c>
      <c r="P94" s="16">
        <v>9.2592592592592596E-4</v>
      </c>
      <c r="Q94">
        <v>60</v>
      </c>
      <c r="R94" s="22">
        <f>Table6[[#This Row],[Total_obs_length_minutes]]*60</f>
        <v>3600</v>
      </c>
      <c r="S94">
        <f>Table6[[#This Row],[Total_on_bout_duration_seconds]]/Table6[[#This Row],[Total_obs_length_seconds]]</f>
        <v>4.3055555555555555E-2</v>
      </c>
    </row>
    <row r="95" spans="1:19" x14ac:dyDescent="0.35">
      <c r="A95" t="s">
        <v>9</v>
      </c>
      <c r="B95" t="s">
        <v>21</v>
      </c>
      <c r="C95" t="str">
        <f>_xlfn.XLOOKUP(Table6[[#This Row],[Nest]],Model_draft_inc_temp_data!B:B,Model_draft_inc_temp_data!C:C, "No Match")</f>
        <v>CP13016</v>
      </c>
      <c r="D95">
        <f>_xlfn.XLOOKUP(Table6[[#This Row],[Female_ID]],Model_draft_inc_temp_data!C:C,Model_draft_inc_temp_data!E:E,"No Match")</f>
        <v>2</v>
      </c>
      <c r="E95">
        <f>_xlfn.XLOOKUP(Table6[[#This Row],[Nest]],Model_draft_inc_temp_data!B:B,Model_draft_inc_temp_data!H:H, "No Match")</f>
        <v>4</v>
      </c>
      <c r="F95">
        <f>_xlfn.XLOOKUP(Table6[[#This Row],[Nest]],Model_draft_inc_temp_data!B:B,Model_draft_inc_temp_data!J:J, "No Match")</f>
        <v>0</v>
      </c>
      <c r="G95">
        <v>1</v>
      </c>
      <c r="H95" s="11" cm="1">
        <f t="array" ref="H95">_xlfn.XLOOKUP(Table6[[#This Row],[Nest]]&amp;Table6[[#This Row],[Obs_date]],Model_draft_inc_temp_data!B:B&amp;Model_draft_inc_temp_data!M:M,Model_draft_inc_temp_data!F:F, "No Match")</f>
        <v>43772</v>
      </c>
      <c r="I95" s="11" cm="1">
        <f t="array" ref="I95">_xlfn.XLOOKUP(Table6[[#This Row],[Nest]]&amp;Table6[[#This Row],[Obs_date]], Model_draft_inc_temp_data!B:B&amp;Model_draft_inc_temp_data!M:M, Model_draft_inc_temp_data!I:I, "No Match")</f>
        <v>43775</v>
      </c>
      <c r="J95" s="11" cm="1">
        <f t="array" ref="J95">_xlfn.XLOOKUP(Table6[[#This Row],[Nest]]&amp;Table6[[#This Row],[Day_of_inc]],Model_draft_inc_temp_data!B:B&amp;Model_draft_inc_temp_data!O:O,Model_draft_inc_temp_data!M:M, "No Match")</f>
        <v>43776</v>
      </c>
      <c r="K95" s="16" cm="1">
        <f t="array" ref="K95">_xlfn.XLOOKUP(Table6[[#This Row],[Nest]]&amp;Table6[[#This Row],[Obs_date]],Sheet2!B:B&amp;Sheet2!E:E, Sheet2!F:F, "No Match")</f>
        <v>0.64027777777777772</v>
      </c>
      <c r="L95">
        <f>_xlfn.XLOOKUP(Table6[[#This Row],[Obs_date]],'19-20_niwa_temp_data'!B:B,'19-20_niwa_temp_data'!G:G, "No Match")</f>
        <v>17.675972391922318</v>
      </c>
      <c r="M95">
        <f>_xlfn.XLOOKUP(Table6[[#This Row],[Nest]],Model_draft_inc_temp_data!B:B,Model_draft_inc_temp_data!L:L, "No Match")</f>
        <v>14</v>
      </c>
      <c r="N95" s="16">
        <v>3.5763888888888894E-3</v>
      </c>
      <c r="O95">
        <f>Table6[[#This Row],[Total_on_bout_duration]]*86400</f>
        <v>309.00000000000006</v>
      </c>
      <c r="P95" s="16">
        <v>2.3310185185185184E-2</v>
      </c>
      <c r="Q95">
        <v>61</v>
      </c>
      <c r="R95" s="22">
        <f>Table6[[#This Row],[Total_obs_length_minutes]]*60</f>
        <v>3660</v>
      </c>
      <c r="S95">
        <f>Table6[[#This Row],[Total_on_bout_duration_seconds]]/Table6[[#This Row],[Total_obs_length_seconds]]</f>
        <v>8.442622950819674E-2</v>
      </c>
    </row>
    <row r="96" spans="1:19" x14ac:dyDescent="0.35">
      <c r="A96" t="s">
        <v>9</v>
      </c>
      <c r="B96" t="s">
        <v>21</v>
      </c>
      <c r="C96" t="str">
        <f>_xlfn.XLOOKUP(Table6[[#This Row],[Nest]],Model_draft_inc_temp_data!B:B,Model_draft_inc_temp_data!C:C, "No Match")</f>
        <v>CP13016</v>
      </c>
      <c r="D96">
        <f>_xlfn.XLOOKUP(Table6[[#This Row],[Female_ID]],Model_draft_inc_temp_data!C:C,Model_draft_inc_temp_data!E:E,"No Match")</f>
        <v>2</v>
      </c>
      <c r="E96">
        <f>_xlfn.XLOOKUP(Table6[[#This Row],[Nest]],Model_draft_inc_temp_data!B:B,Model_draft_inc_temp_data!H:H, "No Match")</f>
        <v>4</v>
      </c>
      <c r="F96">
        <f>_xlfn.XLOOKUP(Table6[[#This Row],[Nest]],Model_draft_inc_temp_data!B:B,Model_draft_inc_temp_data!J:J, "No Match")</f>
        <v>0</v>
      </c>
      <c r="G96">
        <v>2</v>
      </c>
      <c r="H96" s="11" cm="1">
        <f t="array" ref="H96">_xlfn.XLOOKUP(Table6[[#This Row],[Nest]]&amp;Table6[[#This Row],[Obs_date]],Model_draft_inc_temp_data!B:B&amp;Model_draft_inc_temp_data!M:M,Model_draft_inc_temp_data!F:F, "No Match")</f>
        <v>43772</v>
      </c>
      <c r="I96" s="11" cm="1">
        <f t="array" ref="I96">_xlfn.XLOOKUP(Table6[[#This Row],[Nest]]&amp;Table6[[#This Row],[Obs_date]], Model_draft_inc_temp_data!B:B&amp;Model_draft_inc_temp_data!M:M, Model_draft_inc_temp_data!I:I, "No Match")</f>
        <v>43775</v>
      </c>
      <c r="J96" s="11" cm="1">
        <f t="array" ref="J96">_xlfn.XLOOKUP(Table6[[#This Row],[Nest]]&amp;Table6[[#This Row],[Day_of_inc]],Model_draft_inc_temp_data!B:B&amp;Model_draft_inc_temp_data!O:O,Model_draft_inc_temp_data!M:M, "No Match")</f>
        <v>43776</v>
      </c>
      <c r="K96" s="16" cm="1">
        <f t="array" ref="K96">_xlfn.XLOOKUP(Table6[[#This Row],[Nest]]&amp;Table6[[#This Row],[Obs_date]],Sheet2!B:B&amp;Sheet2!E:E, Sheet2!F:F, "No Match")</f>
        <v>0.64027777777777772</v>
      </c>
      <c r="L96">
        <f>_xlfn.XLOOKUP(Table6[[#This Row],[Obs_date]],'19-20_niwa_temp_data'!B:B,'19-20_niwa_temp_data'!G:G, "No Match")</f>
        <v>17.675972391922318</v>
      </c>
      <c r="M96">
        <f>_xlfn.XLOOKUP(Table6[[#This Row],[Nest]],Model_draft_inc_temp_data!B:B,Model_draft_inc_temp_data!L:L, "No Match")</f>
        <v>14</v>
      </c>
      <c r="N96" s="16">
        <v>2.4305555555555552E-2</v>
      </c>
      <c r="O96">
        <f>Table6[[#This Row],[Total_on_bout_duration]]*86400</f>
        <v>2099.9999999999995</v>
      </c>
      <c r="P96" s="16">
        <v>7.6388888888888886E-3</v>
      </c>
      <c r="Q96">
        <v>65.366666670000001</v>
      </c>
      <c r="R96" s="22">
        <f>Table6[[#This Row],[Total_obs_length_minutes]]*60</f>
        <v>3922.0000002000002</v>
      </c>
      <c r="S96">
        <f>Table6[[#This Row],[Total_on_bout_duration_seconds]]/Table6[[#This Row],[Total_obs_length_seconds]]</f>
        <v>0.53544110145153267</v>
      </c>
    </row>
    <row r="97" spans="1:19" x14ac:dyDescent="0.35">
      <c r="A97" t="s">
        <v>9</v>
      </c>
      <c r="B97" t="s">
        <v>21</v>
      </c>
      <c r="C97" t="str">
        <f>_xlfn.XLOOKUP(Table6[[#This Row],[Nest]],Model_draft_inc_temp_data!B:B,Model_draft_inc_temp_data!C:C, "No Match")</f>
        <v>CP13016</v>
      </c>
      <c r="D97">
        <f>_xlfn.XLOOKUP(Table6[[#This Row],[Female_ID]],Model_draft_inc_temp_data!C:C,Model_draft_inc_temp_data!E:E,"No Match")</f>
        <v>2</v>
      </c>
      <c r="E97">
        <f>_xlfn.XLOOKUP(Table6[[#This Row],[Nest]],Model_draft_inc_temp_data!B:B,Model_draft_inc_temp_data!H:H, "No Match")</f>
        <v>4</v>
      </c>
      <c r="F97">
        <f>_xlfn.XLOOKUP(Table6[[#This Row],[Nest]],Model_draft_inc_temp_data!B:B,Model_draft_inc_temp_data!J:J, "No Match")</f>
        <v>0</v>
      </c>
      <c r="G97">
        <v>7</v>
      </c>
      <c r="H97" s="11" cm="1">
        <f t="array" ref="H97">_xlfn.XLOOKUP(Table6[[#This Row],[Nest]]&amp;Table6[[#This Row],[Obs_date]],Model_draft_inc_temp_data!B:B&amp;Model_draft_inc_temp_data!M:M,Model_draft_inc_temp_data!F:F, "No Match")</f>
        <v>43772</v>
      </c>
      <c r="I97" s="11" cm="1">
        <f t="array" ref="I97">_xlfn.XLOOKUP(Table6[[#This Row],[Nest]]&amp;Table6[[#This Row],[Obs_date]], Model_draft_inc_temp_data!B:B&amp;Model_draft_inc_temp_data!M:M, Model_draft_inc_temp_data!I:I, "No Match")</f>
        <v>43775</v>
      </c>
      <c r="J97" s="11" cm="1">
        <f t="array" ref="J97">_xlfn.XLOOKUP(Table6[[#This Row],[Nest]]&amp;Table6[[#This Row],[Day_of_inc]],Model_draft_inc_temp_data!B:B&amp;Model_draft_inc_temp_data!O:O,Model_draft_inc_temp_data!M:M, "No Match")</f>
        <v>43782</v>
      </c>
      <c r="K97" s="16" cm="1">
        <f t="array" ref="K97">_xlfn.XLOOKUP(Table6[[#This Row],[Nest]]&amp;Table6[[#This Row],[Obs_date]],Sheet2!B:B&amp;Sheet2!E:E, Sheet2!F:F, "No Match")</f>
        <v>0.36136574074074074</v>
      </c>
      <c r="L97">
        <f>_xlfn.XLOOKUP(Table6[[#This Row],[Obs_date]],'19-20_niwa_temp_data'!B:B,'19-20_niwa_temp_data'!G:G, "No Match")</f>
        <v>11.944873377311289</v>
      </c>
      <c r="M97">
        <f>_xlfn.XLOOKUP(Table6[[#This Row],[Nest]],Model_draft_inc_temp_data!B:B,Model_draft_inc_temp_data!L:L, "No Match")</f>
        <v>14</v>
      </c>
      <c r="N97" s="16">
        <v>7.8240740740740736E-3</v>
      </c>
      <c r="O97">
        <f>Table6[[#This Row],[Total_on_bout_duration]]*86400</f>
        <v>676</v>
      </c>
      <c r="P97" s="16">
        <v>9.5138888888888894E-3</v>
      </c>
      <c r="Q97">
        <v>63</v>
      </c>
      <c r="R97" s="22">
        <f>Table6[[#This Row],[Total_obs_length_minutes]]*60</f>
        <v>3780</v>
      </c>
      <c r="S97">
        <f>Table6[[#This Row],[Total_on_bout_duration_seconds]]/Table6[[#This Row],[Total_obs_length_seconds]]</f>
        <v>0.17883597883597885</v>
      </c>
    </row>
    <row r="98" spans="1:19" x14ac:dyDescent="0.35">
      <c r="A98" t="s">
        <v>9</v>
      </c>
      <c r="B98" t="s">
        <v>21</v>
      </c>
      <c r="C98" t="str">
        <f>_xlfn.XLOOKUP(Table6[[#This Row],[Nest]],Model_draft_inc_temp_data!B:B,Model_draft_inc_temp_data!C:C, "No Match")</f>
        <v>CP13016</v>
      </c>
      <c r="D98">
        <f>_xlfn.XLOOKUP(Table6[[#This Row],[Female_ID]],Model_draft_inc_temp_data!C:C,Model_draft_inc_temp_data!E:E,"No Match")</f>
        <v>2</v>
      </c>
      <c r="E98">
        <f>_xlfn.XLOOKUP(Table6[[#This Row],[Nest]],Model_draft_inc_temp_data!B:B,Model_draft_inc_temp_data!H:H, "No Match")</f>
        <v>4</v>
      </c>
      <c r="F98">
        <f>_xlfn.XLOOKUP(Table6[[#This Row],[Nest]],Model_draft_inc_temp_data!B:B,Model_draft_inc_temp_data!J:J, "No Match")</f>
        <v>0</v>
      </c>
      <c r="G98">
        <v>13</v>
      </c>
      <c r="H98" s="11" cm="1">
        <f t="array" ref="H98">_xlfn.XLOOKUP(Table6[[#This Row],[Nest]]&amp;Table6[[#This Row],[Obs_date]],Model_draft_inc_temp_data!B:B&amp;Model_draft_inc_temp_data!M:M,Model_draft_inc_temp_data!F:F, "No Match")</f>
        <v>43772</v>
      </c>
      <c r="I98" s="11" cm="1">
        <f t="array" ref="I98">_xlfn.XLOOKUP(Table6[[#This Row],[Nest]]&amp;Table6[[#This Row],[Obs_date]], Model_draft_inc_temp_data!B:B&amp;Model_draft_inc_temp_data!M:M, Model_draft_inc_temp_data!I:I, "No Match")</f>
        <v>43775</v>
      </c>
      <c r="J98" s="11" cm="1">
        <f t="array" ref="J98">_xlfn.XLOOKUP(Table6[[#This Row],[Nest]]&amp;Table6[[#This Row],[Day_of_inc]],Model_draft_inc_temp_data!B:B&amp;Model_draft_inc_temp_data!O:O,Model_draft_inc_temp_data!M:M, "No Match")</f>
        <v>43788</v>
      </c>
      <c r="K98" s="16" cm="1">
        <f t="array" ref="K98">_xlfn.XLOOKUP(Table6[[#This Row],[Nest]]&amp;Table6[[#This Row],[Obs_date]],Sheet2!B:B&amp;Sheet2!E:E, Sheet2!F:F, "No Match")</f>
        <v>0.45775462962962965</v>
      </c>
      <c r="L98">
        <f>_xlfn.XLOOKUP(Table6[[#This Row],[Obs_date]],'19-20_niwa_temp_data'!B:B,'19-20_niwa_temp_data'!G:G, "No Match")</f>
        <v>14.974979131871937</v>
      </c>
      <c r="M98">
        <f>_xlfn.XLOOKUP(Table6[[#This Row],[Nest]],Model_draft_inc_temp_data!B:B,Model_draft_inc_temp_data!L:L, "No Match")</f>
        <v>14</v>
      </c>
      <c r="N98" s="16">
        <v>1.5289351851851853E-2</v>
      </c>
      <c r="O98">
        <f>Table6[[#This Row],[Total_on_bout_duration]]*86400</f>
        <v>1321</v>
      </c>
      <c r="P98" s="16">
        <v>1.0810185185185185E-2</v>
      </c>
      <c r="Q98">
        <v>68</v>
      </c>
      <c r="R98" s="22">
        <f>Table6[[#This Row],[Total_obs_length_minutes]]*60</f>
        <v>4080</v>
      </c>
      <c r="S98">
        <f>Table6[[#This Row],[Total_on_bout_duration_seconds]]/Table6[[#This Row],[Total_obs_length_seconds]]</f>
        <v>0.32377450980392158</v>
      </c>
    </row>
    <row r="99" spans="1:19" x14ac:dyDescent="0.35">
      <c r="A99" t="s">
        <v>9</v>
      </c>
      <c r="B99" t="s">
        <v>24</v>
      </c>
      <c r="C99" t="str">
        <f>_xlfn.XLOOKUP(Table6[[#This Row],[Nest]],Model_draft_inc_temp_data!B:B,Model_draft_inc_temp_data!C:C, "No Match")</f>
        <v>CP8270</v>
      </c>
      <c r="D99">
        <f>_xlfn.XLOOKUP(Table6[[#This Row],[Female_ID]],Model_draft_inc_temp_data!C:C,Model_draft_inc_temp_data!E:E,"No Match")</f>
        <v>4</v>
      </c>
      <c r="E99">
        <f>_xlfn.XLOOKUP(Table6[[#This Row],[Nest]],Model_draft_inc_temp_data!B:B,Model_draft_inc_temp_data!H:H, "No Match")</f>
        <v>5</v>
      </c>
      <c r="F99">
        <f>_xlfn.XLOOKUP(Table6[[#This Row],[Nest]],Model_draft_inc_temp_data!B:B,Model_draft_inc_temp_data!J:J, "No Match")</f>
        <v>0</v>
      </c>
      <c r="G99">
        <v>1</v>
      </c>
      <c r="H99" s="11" cm="1">
        <f t="array" ref="H99">_xlfn.XLOOKUP(Table6[[#This Row],[Nest]]&amp;Table6[[#This Row],[Obs_date]],Model_draft_inc_temp_data!B:B&amp;Model_draft_inc_temp_data!M:M,Model_draft_inc_temp_data!F:F, "No Match")</f>
        <v>43774</v>
      </c>
      <c r="I99" s="11" cm="1">
        <f t="array" ref="I99">_xlfn.XLOOKUP(Table6[[#This Row],[Nest]]&amp;Table6[[#This Row],[Obs_date]], Model_draft_inc_temp_data!B:B&amp;Model_draft_inc_temp_data!M:M, Model_draft_inc_temp_data!I:I, "No Match")</f>
        <v>43778</v>
      </c>
      <c r="J99" s="11" cm="1">
        <f t="array" ref="J99">_xlfn.XLOOKUP(Table6[[#This Row],[Nest]]&amp;Table6[[#This Row],[Day_of_inc]],Model_draft_inc_temp_data!B:B&amp;Model_draft_inc_temp_data!O:O,Model_draft_inc_temp_data!M:M, "No Match")</f>
        <v>43778</v>
      </c>
      <c r="K99" s="16" cm="1">
        <f t="array" ref="K99">_xlfn.XLOOKUP(Table6[[#This Row],[Nest]]&amp;Table6[[#This Row],[Obs_date]],Sheet2!B:B&amp;Sheet2!E:E, Sheet2!F:F, "No Match")</f>
        <v>0.55577546296296299</v>
      </c>
      <c r="L99">
        <f>_xlfn.XLOOKUP(Table6[[#This Row],[Obs_date]],'19-20_niwa_temp_data'!B:B,'19-20_niwa_temp_data'!G:G, "No Match")</f>
        <v>17.764290022401685</v>
      </c>
      <c r="M99">
        <f>_xlfn.XLOOKUP(Table6[[#This Row],[Nest]],Model_draft_inc_temp_data!B:B,Model_draft_inc_temp_data!L:L, "No Match")</f>
        <v>14</v>
      </c>
      <c r="N99" s="16">
        <v>1.3009259259259259E-2</v>
      </c>
      <c r="O99">
        <f>Table6[[#This Row],[Total_on_bout_duration]]*86400</f>
        <v>1124</v>
      </c>
      <c r="P99" s="16">
        <v>2.0138888888888887E-2</v>
      </c>
      <c r="Q99">
        <v>60</v>
      </c>
      <c r="R99" s="22">
        <f>Table6[[#This Row],[Total_obs_length_minutes]]*60</f>
        <v>3600</v>
      </c>
      <c r="S99">
        <f>Table6[[#This Row],[Total_on_bout_duration_seconds]]/Table6[[#This Row],[Total_obs_length_seconds]]</f>
        <v>0.31222222222222223</v>
      </c>
    </row>
    <row r="100" spans="1:19" x14ac:dyDescent="0.35">
      <c r="A100" t="s">
        <v>9</v>
      </c>
      <c r="B100" t="s">
        <v>50</v>
      </c>
      <c r="C100" t="str">
        <f>_xlfn.XLOOKUP(Table6[[#This Row],[Nest]],Model_draft_inc_temp_data!B:B,Model_draft_inc_temp_data!C:C, "No Match")</f>
        <v>CP5099</v>
      </c>
      <c r="D100">
        <f>_xlfn.XLOOKUP(Table6[[#This Row],[Female_ID]],Model_draft_inc_temp_data!C:C,Model_draft_inc_temp_data!E:E,"No Match")</f>
        <v>6</v>
      </c>
      <c r="E100">
        <f>_xlfn.XLOOKUP(Table6[[#This Row],[Nest]],Model_draft_inc_temp_data!B:B,Model_draft_inc_temp_data!H:H, "No Match")</f>
        <v>4</v>
      </c>
      <c r="F100">
        <f>_xlfn.XLOOKUP(Table6[[#This Row],[Nest]],Model_draft_inc_temp_data!B:B,Model_draft_inc_temp_data!J:J, "No Match")</f>
        <v>1</v>
      </c>
      <c r="G100">
        <v>1</v>
      </c>
      <c r="H100" s="11" cm="1">
        <f t="array" ref="H100">_xlfn.XLOOKUP(Table6[[#This Row],[Nest]]&amp;Table6[[#This Row],[Obs_date]],Model_draft_inc_temp_data!B:B&amp;Model_draft_inc_temp_data!M:M,Model_draft_inc_temp_data!F:F, "No Match")</f>
        <v>43786</v>
      </c>
      <c r="I100" s="11" cm="1">
        <f t="array" ref="I100">_xlfn.XLOOKUP(Table6[[#This Row],[Nest]]&amp;Table6[[#This Row],[Obs_date]], Model_draft_inc_temp_data!B:B&amp;Model_draft_inc_temp_data!M:M, Model_draft_inc_temp_data!I:I, "No Match")</f>
        <v>43790</v>
      </c>
      <c r="J100" s="11" cm="1">
        <f t="array" ref="J100">_xlfn.XLOOKUP(Table6[[#This Row],[Nest]]&amp;Table6[[#This Row],[Day_of_inc]],Model_draft_inc_temp_data!B:B&amp;Model_draft_inc_temp_data!O:O,Model_draft_inc_temp_data!M:M, "No Match")</f>
        <v>43791</v>
      </c>
      <c r="K100" s="16" cm="1">
        <f t="array" ref="K100">_xlfn.XLOOKUP(Table6[[#This Row],[Nest]]&amp;Table6[[#This Row],[Obs_date]],Sheet2!B:B&amp;Sheet2!E:E, Sheet2!F:F, "No Match")</f>
        <v>0.61782407407407403</v>
      </c>
      <c r="L100">
        <f>_xlfn.XLOOKUP(Table6[[#This Row],[Obs_date]],'19-20_niwa_temp_data'!B:B,'19-20_niwa_temp_data'!G:G, "No Match")</f>
        <v>14.404166064024672</v>
      </c>
      <c r="M100" t="str">
        <f>_xlfn.XLOOKUP(Table6[[#This Row],[Nest]],Model_draft_inc_temp_data!B:B,Model_draft_inc_temp_data!L:L, "No Match")</f>
        <v>N/A</v>
      </c>
      <c r="N100" s="16">
        <v>7.8472222222222224E-3</v>
      </c>
      <c r="O100">
        <f>Table6[[#This Row],[Total_on_bout_duration]]*86400</f>
        <v>678</v>
      </c>
      <c r="P100" s="16">
        <v>1.2245370370370372E-2</v>
      </c>
      <c r="Q100">
        <v>60</v>
      </c>
      <c r="R100" s="22">
        <f>Table6[[#This Row],[Total_obs_length_minutes]]*60</f>
        <v>3600</v>
      </c>
      <c r="S100">
        <f>Table6[[#This Row],[Total_on_bout_duration_seconds]]/Table6[[#This Row],[Total_obs_length_seconds]]</f>
        <v>0.18833333333333332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Incub_summary</vt:lpstr>
      <vt:lpstr>Desc_stats</vt:lpstr>
      <vt:lpstr>19-20_niwa_temp_data</vt:lpstr>
      <vt:lpstr>19-20_female_cohort</vt:lpstr>
      <vt:lpstr>Sheet2</vt:lpstr>
      <vt:lpstr>Model_draft_inc_temp_data</vt:lpstr>
      <vt:lpstr>Model_draft_prop_data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Cobb</dc:creator>
  <cp:lastModifiedBy>Zoe Cobb</cp:lastModifiedBy>
  <dcterms:created xsi:type="dcterms:W3CDTF">2026-05-13T11:50:09Z</dcterms:created>
  <dcterms:modified xsi:type="dcterms:W3CDTF">2026-08-20T10:02:06Z</dcterms:modified>
</cp:coreProperties>
</file>